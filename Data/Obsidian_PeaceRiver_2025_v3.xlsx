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pswelding-my.sharepoint.com/personal/kylegronning_mpsgroup_ca/Documents/Data/Production Data/"/>
    </mc:Choice>
  </mc:AlternateContent>
  <xr:revisionPtr revIDLastSave="1" documentId="11_5879A495C649A0105532184AB70647AD7F9B147D" xr6:coauthVersionLast="47" xr6:coauthVersionMax="47" xr10:uidLastSave="{05FCE0E4-3E17-4676-B758-0CBA26DF8C6F}"/>
  <bookViews>
    <workbookView xWindow="-108" yWindow="-108" windowWidth="24792" windowHeight="14856" tabRatio="500" xr2:uid="{00000000-000D-0000-FFFF-FFFF00000000}"/>
  </bookViews>
  <sheets>
    <sheet name="Pump Change Risk" sheetId="1" r:id="rId1"/>
    <sheet name="Downtime Analysis" sheetId="2" r:id="rId2"/>
    <sheet name="Well Summary" sheetId="3" r:id="rId3"/>
    <sheet name="Monthly Oil (m³)" sheetId="4" r:id="rId4"/>
    <sheet name="Monthly bbl per day" sheetId="5" r:id="rId5"/>
    <sheet name="Monthly Hours" sheetId="6" r:id="rId6"/>
    <sheet name="Top 50 Producers" sheetId="7" r:id="rId7"/>
  </sheets>
  <definedNames>
    <definedName name="_xlnm._FilterDatabase" localSheetId="1" hidden="1">'Downtime Analysis'!$A$4:$Q$289</definedName>
    <definedName name="_xlnm._FilterDatabase" localSheetId="0" hidden="1">'Pump Change Risk'!$A$5:$K$290</definedName>
    <definedName name="_xlnm._FilterDatabase" localSheetId="2" hidden="1">'Well Summary'!$A$4:$M$289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3" i="7" l="1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284" i="5"/>
  <c r="O283" i="5"/>
  <c r="O281" i="5"/>
  <c r="O280" i="5"/>
  <c r="O279" i="5"/>
  <c r="O272" i="5"/>
  <c r="O271" i="5"/>
  <c r="O269" i="5"/>
  <c r="O268" i="5"/>
  <c r="O260" i="5"/>
  <c r="O259" i="5"/>
  <c r="O257" i="5"/>
  <c r="O256" i="5"/>
  <c r="O248" i="5"/>
  <c r="O247" i="5"/>
  <c r="O246" i="5"/>
  <c r="O245" i="5"/>
  <c r="O244" i="5"/>
  <c r="O236" i="5"/>
  <c r="O235" i="5"/>
  <c r="O233" i="5"/>
  <c r="O232" i="5"/>
  <c r="O231" i="5"/>
  <c r="O224" i="5"/>
  <c r="O223" i="5"/>
  <c r="O222" i="5"/>
  <c r="O221" i="5"/>
  <c r="O220" i="5"/>
  <c r="O212" i="5"/>
  <c r="O211" i="5"/>
  <c r="O209" i="5"/>
  <c r="O208" i="5"/>
  <c r="O200" i="5"/>
  <c r="O199" i="5"/>
  <c r="O198" i="5"/>
  <c r="O197" i="5"/>
  <c r="O196" i="5"/>
  <c r="O188" i="5"/>
  <c r="O187" i="5"/>
  <c r="O185" i="5"/>
  <c r="O184" i="5"/>
  <c r="O183" i="5"/>
  <c r="O176" i="5"/>
  <c r="O175" i="5"/>
  <c r="O174" i="5"/>
  <c r="O173" i="5"/>
  <c r="O172" i="5"/>
  <c r="O164" i="5"/>
  <c r="O163" i="5"/>
  <c r="O161" i="5"/>
  <c r="O160" i="5"/>
  <c r="O159" i="5"/>
  <c r="O152" i="5"/>
  <c r="O151" i="5"/>
  <c r="O150" i="5"/>
  <c r="O149" i="5"/>
  <c r="O148" i="5"/>
  <c r="O140" i="5"/>
  <c r="O139" i="5"/>
  <c r="O137" i="5"/>
  <c r="O136" i="5"/>
  <c r="O128" i="5"/>
  <c r="O127" i="5"/>
  <c r="O126" i="5"/>
  <c r="O125" i="5"/>
  <c r="O124" i="5"/>
  <c r="O116" i="5"/>
  <c r="O115" i="5"/>
  <c r="O113" i="5"/>
  <c r="O112" i="5"/>
  <c r="O111" i="5"/>
  <c r="O104" i="5"/>
  <c r="O103" i="5"/>
  <c r="O101" i="5"/>
  <c r="O100" i="5"/>
  <c r="O92" i="5"/>
  <c r="O91" i="5"/>
  <c r="O89" i="5"/>
  <c r="O88" i="5"/>
  <c r="O87" i="5"/>
  <c r="O80" i="5"/>
  <c r="O79" i="5"/>
  <c r="O78" i="5"/>
  <c r="O77" i="5"/>
  <c r="O76" i="5"/>
  <c r="O68" i="5"/>
  <c r="O67" i="5"/>
  <c r="O65" i="5"/>
  <c r="O64" i="5"/>
  <c r="O63" i="5"/>
  <c r="O56" i="5"/>
  <c r="O55" i="5"/>
  <c r="O54" i="5"/>
  <c r="O53" i="5"/>
  <c r="O52" i="5"/>
  <c r="O44" i="5"/>
  <c r="O43" i="5"/>
  <c r="O41" i="5"/>
  <c r="O40" i="5"/>
  <c r="O32" i="5"/>
  <c r="O31" i="5"/>
  <c r="O30" i="5"/>
  <c r="O29" i="5"/>
  <c r="O28" i="5"/>
  <c r="O20" i="5"/>
  <c r="O19" i="5"/>
  <c r="O17" i="5"/>
  <c r="O16" i="5"/>
  <c r="O8" i="5"/>
  <c r="O7" i="5"/>
  <c r="O6" i="5"/>
  <c r="O5" i="5"/>
  <c r="N289" i="4"/>
  <c r="M289" i="4"/>
  <c r="L289" i="4"/>
  <c r="K289" i="4"/>
  <c r="J289" i="4"/>
  <c r="I289" i="4"/>
  <c r="H289" i="4"/>
  <c r="G289" i="4"/>
  <c r="F289" i="4"/>
  <c r="E289" i="4"/>
  <c r="D289" i="4"/>
  <c r="C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289" i="4" s="1"/>
  <c r="I290" i="3"/>
  <c r="H290" i="3"/>
  <c r="G290" i="3"/>
  <c r="E290" i="3"/>
  <c r="M289" i="3"/>
  <c r="L289" i="3"/>
  <c r="J289" i="3"/>
  <c r="F289" i="3"/>
  <c r="O289" i="5" s="1"/>
  <c r="J288" i="3"/>
  <c r="F288" i="3"/>
  <c r="M287" i="3"/>
  <c r="L287" i="3"/>
  <c r="J287" i="3"/>
  <c r="F287" i="3"/>
  <c r="O287" i="5" s="1"/>
  <c r="M286" i="3"/>
  <c r="L286" i="3"/>
  <c r="J286" i="3"/>
  <c r="F286" i="3"/>
  <c r="O286" i="5" s="1"/>
  <c r="J285" i="3"/>
  <c r="F285" i="3"/>
  <c r="M284" i="3"/>
  <c r="L284" i="3"/>
  <c r="J284" i="3"/>
  <c r="F284" i="3"/>
  <c r="M283" i="3"/>
  <c r="L283" i="3"/>
  <c r="J283" i="3"/>
  <c r="F283" i="3"/>
  <c r="J282" i="3"/>
  <c r="F282" i="3"/>
  <c r="M281" i="3"/>
  <c r="L281" i="3"/>
  <c r="J281" i="3"/>
  <c r="F281" i="3"/>
  <c r="M280" i="3"/>
  <c r="L280" i="3"/>
  <c r="J280" i="3"/>
  <c r="F280" i="3"/>
  <c r="J279" i="3"/>
  <c r="F279" i="3"/>
  <c r="M278" i="3"/>
  <c r="L278" i="3"/>
  <c r="J278" i="3"/>
  <c r="F278" i="3"/>
  <c r="O278" i="5" s="1"/>
  <c r="M277" i="3"/>
  <c r="L277" i="3"/>
  <c r="J277" i="3"/>
  <c r="F277" i="3"/>
  <c r="O277" i="5" s="1"/>
  <c r="J276" i="3"/>
  <c r="F276" i="3"/>
  <c r="M275" i="3"/>
  <c r="L275" i="3"/>
  <c r="J275" i="3"/>
  <c r="F275" i="3"/>
  <c r="O275" i="5" s="1"/>
  <c r="M274" i="3"/>
  <c r="L274" i="3"/>
  <c r="J274" i="3"/>
  <c r="F274" i="3"/>
  <c r="O274" i="5" s="1"/>
  <c r="J273" i="3"/>
  <c r="F273" i="3"/>
  <c r="M272" i="3"/>
  <c r="L272" i="3"/>
  <c r="J272" i="3"/>
  <c r="F272" i="3"/>
  <c r="M271" i="3"/>
  <c r="L271" i="3"/>
  <c r="J271" i="3"/>
  <c r="F271" i="3"/>
  <c r="J270" i="3"/>
  <c r="F270" i="3"/>
  <c r="O270" i="5" s="1"/>
  <c r="M269" i="3"/>
  <c r="L269" i="3"/>
  <c r="J269" i="3"/>
  <c r="F269" i="3"/>
  <c r="M268" i="3"/>
  <c r="L268" i="3"/>
  <c r="J268" i="3"/>
  <c r="F268" i="3"/>
  <c r="J267" i="3"/>
  <c r="F267" i="3"/>
  <c r="M266" i="3"/>
  <c r="L266" i="3"/>
  <c r="J266" i="3"/>
  <c r="F266" i="3"/>
  <c r="O266" i="5" s="1"/>
  <c r="M265" i="3"/>
  <c r="L265" i="3"/>
  <c r="J265" i="3"/>
  <c r="F265" i="3"/>
  <c r="O265" i="5" s="1"/>
  <c r="J264" i="3"/>
  <c r="F264" i="3"/>
  <c r="M263" i="3"/>
  <c r="L263" i="3"/>
  <c r="J263" i="3"/>
  <c r="F263" i="3"/>
  <c r="O263" i="5" s="1"/>
  <c r="M262" i="3"/>
  <c r="L262" i="3"/>
  <c r="J262" i="3"/>
  <c r="F262" i="3"/>
  <c r="O262" i="5" s="1"/>
  <c r="J261" i="3"/>
  <c r="F261" i="3"/>
  <c r="M260" i="3"/>
  <c r="L260" i="3"/>
  <c r="J260" i="3"/>
  <c r="F260" i="3"/>
  <c r="M259" i="3"/>
  <c r="L259" i="3"/>
  <c r="J259" i="3"/>
  <c r="F259" i="3"/>
  <c r="J258" i="3"/>
  <c r="F258" i="3"/>
  <c r="O258" i="5" s="1"/>
  <c r="M257" i="3"/>
  <c r="L257" i="3"/>
  <c r="J257" i="3"/>
  <c r="F257" i="3"/>
  <c r="M256" i="3"/>
  <c r="L256" i="3"/>
  <c r="J256" i="3"/>
  <c r="F256" i="3"/>
  <c r="J255" i="3"/>
  <c r="F255" i="3"/>
  <c r="M254" i="3"/>
  <c r="L254" i="3"/>
  <c r="J254" i="3"/>
  <c r="F254" i="3"/>
  <c r="O254" i="5" s="1"/>
  <c r="M253" i="3"/>
  <c r="L253" i="3"/>
  <c r="J253" i="3"/>
  <c r="F253" i="3"/>
  <c r="O253" i="5" s="1"/>
  <c r="J252" i="3"/>
  <c r="F252" i="3"/>
  <c r="M251" i="3"/>
  <c r="L251" i="3"/>
  <c r="J251" i="3"/>
  <c r="F251" i="3"/>
  <c r="O251" i="5" s="1"/>
  <c r="M250" i="3"/>
  <c r="L250" i="3"/>
  <c r="J250" i="3"/>
  <c r="F250" i="3"/>
  <c r="O250" i="5" s="1"/>
  <c r="J249" i="3"/>
  <c r="F249" i="3"/>
  <c r="M248" i="3"/>
  <c r="L248" i="3"/>
  <c r="J248" i="3"/>
  <c r="F248" i="3"/>
  <c r="M247" i="3"/>
  <c r="L247" i="3"/>
  <c r="J247" i="3"/>
  <c r="F247" i="3"/>
  <c r="J246" i="3"/>
  <c r="F246" i="3"/>
  <c r="M245" i="3"/>
  <c r="L245" i="3"/>
  <c r="J245" i="3"/>
  <c r="F245" i="3"/>
  <c r="M244" i="3"/>
  <c r="L244" i="3"/>
  <c r="J244" i="3"/>
  <c r="F244" i="3"/>
  <c r="J243" i="3"/>
  <c r="F243" i="3"/>
  <c r="M242" i="3"/>
  <c r="L242" i="3"/>
  <c r="J242" i="3"/>
  <c r="F242" i="3"/>
  <c r="O242" i="5" s="1"/>
  <c r="M241" i="3"/>
  <c r="L241" i="3"/>
  <c r="J241" i="3"/>
  <c r="F241" i="3"/>
  <c r="O241" i="5" s="1"/>
  <c r="J240" i="3"/>
  <c r="F240" i="3"/>
  <c r="M239" i="3"/>
  <c r="L239" i="3"/>
  <c r="J239" i="3"/>
  <c r="F239" i="3"/>
  <c r="O239" i="5" s="1"/>
  <c r="M238" i="3"/>
  <c r="L238" i="3"/>
  <c r="J238" i="3"/>
  <c r="F238" i="3"/>
  <c r="O238" i="5" s="1"/>
  <c r="J237" i="3"/>
  <c r="F237" i="3"/>
  <c r="M236" i="3"/>
  <c r="L236" i="3"/>
  <c r="J236" i="3"/>
  <c r="F236" i="3"/>
  <c r="M235" i="3"/>
  <c r="L235" i="3"/>
  <c r="J235" i="3"/>
  <c r="F235" i="3"/>
  <c r="J234" i="3"/>
  <c r="F234" i="3"/>
  <c r="O234" i="5" s="1"/>
  <c r="M233" i="3"/>
  <c r="L233" i="3"/>
  <c r="J233" i="3"/>
  <c r="F233" i="3"/>
  <c r="M232" i="3"/>
  <c r="L232" i="3"/>
  <c r="J232" i="3"/>
  <c r="F232" i="3"/>
  <c r="J231" i="3"/>
  <c r="F231" i="3"/>
  <c r="M230" i="3"/>
  <c r="L230" i="3"/>
  <c r="J230" i="3"/>
  <c r="F230" i="3"/>
  <c r="O230" i="5" s="1"/>
  <c r="M229" i="3"/>
  <c r="L229" i="3"/>
  <c r="J229" i="3"/>
  <c r="F229" i="3"/>
  <c r="O229" i="5" s="1"/>
  <c r="J228" i="3"/>
  <c r="F228" i="3"/>
  <c r="M227" i="3"/>
  <c r="L227" i="3"/>
  <c r="J227" i="3"/>
  <c r="F227" i="3"/>
  <c r="O227" i="5" s="1"/>
  <c r="M226" i="3"/>
  <c r="L226" i="3"/>
  <c r="J226" i="3"/>
  <c r="F226" i="3"/>
  <c r="O226" i="5" s="1"/>
  <c r="J225" i="3"/>
  <c r="F225" i="3"/>
  <c r="M224" i="3"/>
  <c r="L224" i="3"/>
  <c r="J224" i="3"/>
  <c r="F224" i="3"/>
  <c r="M223" i="3"/>
  <c r="L223" i="3"/>
  <c r="J223" i="3"/>
  <c r="F223" i="3"/>
  <c r="L222" i="3"/>
  <c r="J222" i="3"/>
  <c r="F222" i="3"/>
  <c r="M222" i="3" s="1"/>
  <c r="M221" i="3"/>
  <c r="L221" i="3"/>
  <c r="J221" i="3"/>
  <c r="F221" i="3"/>
  <c r="M220" i="3"/>
  <c r="L220" i="3"/>
  <c r="J220" i="3"/>
  <c r="F220" i="3"/>
  <c r="L219" i="3"/>
  <c r="J219" i="3"/>
  <c r="F219" i="3"/>
  <c r="M219" i="3" s="1"/>
  <c r="M218" i="3"/>
  <c r="L218" i="3"/>
  <c r="J218" i="3"/>
  <c r="F218" i="3"/>
  <c r="O218" i="5" s="1"/>
  <c r="M217" i="3"/>
  <c r="L217" i="3"/>
  <c r="J217" i="3"/>
  <c r="F217" i="3"/>
  <c r="O217" i="5" s="1"/>
  <c r="L216" i="3"/>
  <c r="J216" i="3"/>
  <c r="F216" i="3"/>
  <c r="M215" i="3"/>
  <c r="L215" i="3"/>
  <c r="J215" i="3"/>
  <c r="F215" i="3"/>
  <c r="O215" i="5" s="1"/>
  <c r="M214" i="3"/>
  <c r="L214" i="3"/>
  <c r="J214" i="3"/>
  <c r="F214" i="3"/>
  <c r="O214" i="5" s="1"/>
  <c r="J213" i="3"/>
  <c r="F213" i="3"/>
  <c r="M212" i="3"/>
  <c r="L212" i="3"/>
  <c r="J212" i="3"/>
  <c r="F212" i="3"/>
  <c r="M211" i="3"/>
  <c r="L211" i="3"/>
  <c r="J211" i="3"/>
  <c r="F211" i="3"/>
  <c r="L210" i="3"/>
  <c r="J210" i="3"/>
  <c r="F210" i="3"/>
  <c r="M210" i="3" s="1"/>
  <c r="M209" i="3"/>
  <c r="L209" i="3"/>
  <c r="J209" i="3"/>
  <c r="F209" i="3"/>
  <c r="M208" i="3"/>
  <c r="L208" i="3"/>
  <c r="J208" i="3"/>
  <c r="F208" i="3"/>
  <c r="J207" i="3"/>
  <c r="F207" i="3"/>
  <c r="M207" i="3" s="1"/>
  <c r="M206" i="3"/>
  <c r="L206" i="3"/>
  <c r="J206" i="3"/>
  <c r="F206" i="3"/>
  <c r="O206" i="5" s="1"/>
  <c r="M205" i="3"/>
  <c r="L205" i="3"/>
  <c r="J205" i="3"/>
  <c r="F205" i="3"/>
  <c r="O205" i="5" s="1"/>
  <c r="J204" i="3"/>
  <c r="F204" i="3"/>
  <c r="L204" i="3" s="1"/>
  <c r="M203" i="3"/>
  <c r="L203" i="3"/>
  <c r="J203" i="3"/>
  <c r="F203" i="3"/>
  <c r="O203" i="5" s="1"/>
  <c r="M202" i="3"/>
  <c r="L202" i="3"/>
  <c r="J202" i="3"/>
  <c r="F202" i="3"/>
  <c r="O202" i="5" s="1"/>
  <c r="J201" i="3"/>
  <c r="F201" i="3"/>
  <c r="M200" i="3"/>
  <c r="L200" i="3"/>
  <c r="J200" i="3"/>
  <c r="F200" i="3"/>
  <c r="M199" i="3"/>
  <c r="L199" i="3"/>
  <c r="J199" i="3"/>
  <c r="F199" i="3"/>
  <c r="J198" i="3"/>
  <c r="F198" i="3"/>
  <c r="M198" i="3" s="1"/>
  <c r="M197" i="3"/>
  <c r="L197" i="3"/>
  <c r="J197" i="3"/>
  <c r="F197" i="3"/>
  <c r="M196" i="3"/>
  <c r="L196" i="3"/>
  <c r="J196" i="3"/>
  <c r="F196" i="3"/>
  <c r="J195" i="3"/>
  <c r="F195" i="3"/>
  <c r="M195" i="3" s="1"/>
  <c r="M194" i="3"/>
  <c r="L194" i="3"/>
  <c r="J194" i="3"/>
  <c r="F194" i="3"/>
  <c r="O194" i="5" s="1"/>
  <c r="M193" i="3"/>
  <c r="L193" i="3"/>
  <c r="J193" i="3"/>
  <c r="F193" i="3"/>
  <c r="O193" i="5" s="1"/>
  <c r="J192" i="3"/>
  <c r="F192" i="3"/>
  <c r="M191" i="3"/>
  <c r="L191" i="3"/>
  <c r="J191" i="3"/>
  <c r="F191" i="3"/>
  <c r="O191" i="5" s="1"/>
  <c r="M190" i="3"/>
  <c r="L190" i="3"/>
  <c r="J190" i="3"/>
  <c r="F190" i="3"/>
  <c r="O190" i="5" s="1"/>
  <c r="L189" i="3"/>
  <c r="J189" i="3"/>
  <c r="F189" i="3"/>
  <c r="M188" i="3"/>
  <c r="L188" i="3"/>
  <c r="J188" i="3"/>
  <c r="F188" i="3"/>
  <c r="M187" i="3"/>
  <c r="L187" i="3"/>
  <c r="J187" i="3"/>
  <c r="F187" i="3"/>
  <c r="J186" i="3"/>
  <c r="F186" i="3"/>
  <c r="M186" i="3" s="1"/>
  <c r="M185" i="3"/>
  <c r="L185" i="3"/>
  <c r="J185" i="3"/>
  <c r="F185" i="3"/>
  <c r="M184" i="3"/>
  <c r="L184" i="3"/>
  <c r="J184" i="3"/>
  <c r="F184" i="3"/>
  <c r="L183" i="3"/>
  <c r="J183" i="3"/>
  <c r="F183" i="3"/>
  <c r="M183" i="3" s="1"/>
  <c r="M182" i="3"/>
  <c r="L182" i="3"/>
  <c r="J182" i="3"/>
  <c r="F182" i="3"/>
  <c r="O182" i="5" s="1"/>
  <c r="M181" i="3"/>
  <c r="L181" i="3"/>
  <c r="J181" i="3"/>
  <c r="F181" i="3"/>
  <c r="O181" i="5" s="1"/>
  <c r="L180" i="3"/>
  <c r="J180" i="3"/>
  <c r="F180" i="3"/>
  <c r="M179" i="3"/>
  <c r="L179" i="3"/>
  <c r="J179" i="3"/>
  <c r="F179" i="3"/>
  <c r="O179" i="5" s="1"/>
  <c r="M178" i="3"/>
  <c r="L178" i="3"/>
  <c r="J178" i="3"/>
  <c r="F178" i="3"/>
  <c r="O178" i="5" s="1"/>
  <c r="J177" i="3"/>
  <c r="F177" i="3"/>
  <c r="M176" i="3"/>
  <c r="L176" i="3"/>
  <c r="J176" i="3"/>
  <c r="F176" i="3"/>
  <c r="M175" i="3"/>
  <c r="L175" i="3"/>
  <c r="J175" i="3"/>
  <c r="F175" i="3"/>
  <c r="L174" i="3"/>
  <c r="J174" i="3"/>
  <c r="F174" i="3"/>
  <c r="M174" i="3" s="1"/>
  <c r="M173" i="3"/>
  <c r="L173" i="3"/>
  <c r="J173" i="3"/>
  <c r="F173" i="3"/>
  <c r="M172" i="3"/>
  <c r="L172" i="3"/>
  <c r="J172" i="3"/>
  <c r="F172" i="3"/>
  <c r="J171" i="3"/>
  <c r="F171" i="3"/>
  <c r="M171" i="3" s="1"/>
  <c r="M170" i="3"/>
  <c r="L170" i="3"/>
  <c r="J170" i="3"/>
  <c r="F170" i="3"/>
  <c r="O170" i="5" s="1"/>
  <c r="M169" i="3"/>
  <c r="L169" i="3"/>
  <c r="J169" i="3"/>
  <c r="F169" i="3"/>
  <c r="O169" i="5" s="1"/>
  <c r="J168" i="3"/>
  <c r="F168" i="3"/>
  <c r="L168" i="3" s="1"/>
  <c r="M167" i="3"/>
  <c r="L167" i="3"/>
  <c r="J167" i="3"/>
  <c r="F167" i="3"/>
  <c r="O167" i="5" s="1"/>
  <c r="M166" i="3"/>
  <c r="L166" i="3"/>
  <c r="J166" i="3"/>
  <c r="F166" i="3"/>
  <c r="O166" i="5" s="1"/>
  <c r="L165" i="3"/>
  <c r="J165" i="3"/>
  <c r="F165" i="3"/>
  <c r="M164" i="3"/>
  <c r="L164" i="3"/>
  <c r="J164" i="3"/>
  <c r="F164" i="3"/>
  <c r="M163" i="3"/>
  <c r="L163" i="3"/>
  <c r="J163" i="3"/>
  <c r="F163" i="3"/>
  <c r="L162" i="3"/>
  <c r="J162" i="3"/>
  <c r="F162" i="3"/>
  <c r="M162" i="3" s="1"/>
  <c r="M161" i="3"/>
  <c r="L161" i="3"/>
  <c r="J161" i="3"/>
  <c r="F161" i="3"/>
  <c r="M160" i="3"/>
  <c r="L160" i="3"/>
  <c r="J160" i="3"/>
  <c r="F160" i="3"/>
  <c r="J159" i="3"/>
  <c r="F159" i="3"/>
  <c r="M159" i="3" s="1"/>
  <c r="M158" i="3"/>
  <c r="L158" i="3"/>
  <c r="J158" i="3"/>
  <c r="F158" i="3"/>
  <c r="O158" i="5" s="1"/>
  <c r="M157" i="3"/>
  <c r="L157" i="3"/>
  <c r="J157" i="3"/>
  <c r="F157" i="3"/>
  <c r="O157" i="5" s="1"/>
  <c r="L156" i="3"/>
  <c r="J156" i="3"/>
  <c r="F156" i="3"/>
  <c r="M155" i="3"/>
  <c r="L155" i="3"/>
  <c r="J155" i="3"/>
  <c r="F155" i="3"/>
  <c r="O155" i="5" s="1"/>
  <c r="M154" i="3"/>
  <c r="L154" i="3"/>
  <c r="J154" i="3"/>
  <c r="F154" i="3"/>
  <c r="O154" i="5" s="1"/>
  <c r="L153" i="3"/>
  <c r="J153" i="3"/>
  <c r="F153" i="3"/>
  <c r="M152" i="3"/>
  <c r="L152" i="3"/>
  <c r="J152" i="3"/>
  <c r="F152" i="3"/>
  <c r="M151" i="3"/>
  <c r="L151" i="3"/>
  <c r="J151" i="3"/>
  <c r="F151" i="3"/>
  <c r="J150" i="3"/>
  <c r="F150" i="3"/>
  <c r="M150" i="3" s="1"/>
  <c r="M149" i="3"/>
  <c r="L149" i="3"/>
  <c r="J149" i="3"/>
  <c r="F149" i="3"/>
  <c r="M148" i="3"/>
  <c r="L148" i="3"/>
  <c r="J148" i="3"/>
  <c r="F148" i="3"/>
  <c r="L147" i="3"/>
  <c r="J147" i="3"/>
  <c r="F147" i="3"/>
  <c r="M147" i="3" s="1"/>
  <c r="M146" i="3"/>
  <c r="L146" i="3"/>
  <c r="J146" i="3"/>
  <c r="F146" i="3"/>
  <c r="O146" i="5" s="1"/>
  <c r="M145" i="3"/>
  <c r="L145" i="3"/>
  <c r="J145" i="3"/>
  <c r="F145" i="3"/>
  <c r="O145" i="5" s="1"/>
  <c r="L144" i="3"/>
  <c r="J144" i="3"/>
  <c r="F144" i="3"/>
  <c r="M143" i="3"/>
  <c r="L143" i="3"/>
  <c r="J143" i="3"/>
  <c r="F143" i="3"/>
  <c r="O143" i="5" s="1"/>
  <c r="M142" i="3"/>
  <c r="L142" i="3"/>
  <c r="J142" i="3"/>
  <c r="F142" i="3"/>
  <c r="O142" i="5" s="1"/>
  <c r="J141" i="3"/>
  <c r="F141" i="3"/>
  <c r="M140" i="3"/>
  <c r="L140" i="3"/>
  <c r="J140" i="3"/>
  <c r="F140" i="3"/>
  <c r="M139" i="3"/>
  <c r="L139" i="3"/>
  <c r="J139" i="3"/>
  <c r="F139" i="3"/>
  <c r="L138" i="3"/>
  <c r="J138" i="3"/>
  <c r="F138" i="3"/>
  <c r="M138" i="3" s="1"/>
  <c r="M137" i="3"/>
  <c r="L137" i="3"/>
  <c r="J137" i="3"/>
  <c r="F137" i="3"/>
  <c r="M136" i="3"/>
  <c r="L136" i="3"/>
  <c r="J136" i="3"/>
  <c r="F136" i="3"/>
  <c r="J135" i="3"/>
  <c r="F135" i="3"/>
  <c r="M135" i="3" s="1"/>
  <c r="M134" i="3"/>
  <c r="L134" i="3"/>
  <c r="J134" i="3"/>
  <c r="F134" i="3"/>
  <c r="O134" i="5" s="1"/>
  <c r="M133" i="3"/>
  <c r="L133" i="3"/>
  <c r="J133" i="3"/>
  <c r="F133" i="3"/>
  <c r="O133" i="5" s="1"/>
  <c r="J132" i="3"/>
  <c r="F132" i="3"/>
  <c r="L132" i="3" s="1"/>
  <c r="M131" i="3"/>
  <c r="L131" i="3"/>
  <c r="J131" i="3"/>
  <c r="F131" i="3"/>
  <c r="O131" i="5" s="1"/>
  <c r="M130" i="3"/>
  <c r="L130" i="3"/>
  <c r="J130" i="3"/>
  <c r="F130" i="3"/>
  <c r="O130" i="5" s="1"/>
  <c r="J129" i="3"/>
  <c r="F129" i="3"/>
  <c r="M128" i="3"/>
  <c r="L128" i="3"/>
  <c r="J128" i="3"/>
  <c r="F128" i="3"/>
  <c r="M127" i="3"/>
  <c r="L127" i="3"/>
  <c r="J127" i="3"/>
  <c r="F127" i="3"/>
  <c r="J126" i="3"/>
  <c r="F126" i="3"/>
  <c r="M126" i="3" s="1"/>
  <c r="M125" i="3"/>
  <c r="L125" i="3"/>
  <c r="J125" i="3"/>
  <c r="F125" i="3"/>
  <c r="M124" i="3"/>
  <c r="L124" i="3"/>
  <c r="J124" i="3"/>
  <c r="F124" i="3"/>
  <c r="J123" i="3"/>
  <c r="F123" i="3"/>
  <c r="M123" i="3" s="1"/>
  <c r="M122" i="3"/>
  <c r="L122" i="3"/>
  <c r="J122" i="3"/>
  <c r="F122" i="3"/>
  <c r="O122" i="5" s="1"/>
  <c r="M121" i="3"/>
  <c r="L121" i="3"/>
  <c r="J121" i="3"/>
  <c r="F121" i="3"/>
  <c r="O121" i="5" s="1"/>
  <c r="L120" i="3"/>
  <c r="J120" i="3"/>
  <c r="F120" i="3"/>
  <c r="M119" i="3"/>
  <c r="L119" i="3"/>
  <c r="J119" i="3"/>
  <c r="F119" i="3"/>
  <c r="O119" i="5" s="1"/>
  <c r="M118" i="3"/>
  <c r="L118" i="3"/>
  <c r="J118" i="3"/>
  <c r="F118" i="3"/>
  <c r="O118" i="5" s="1"/>
  <c r="J117" i="3"/>
  <c r="F117" i="3"/>
  <c r="M116" i="3"/>
  <c r="L116" i="3"/>
  <c r="J116" i="3"/>
  <c r="F116" i="3"/>
  <c r="M115" i="3"/>
  <c r="L115" i="3"/>
  <c r="J115" i="3"/>
  <c r="F115" i="3"/>
  <c r="J114" i="3"/>
  <c r="F114" i="3"/>
  <c r="M114" i="3" s="1"/>
  <c r="M113" i="3"/>
  <c r="L113" i="3"/>
  <c r="J113" i="3"/>
  <c r="F113" i="3"/>
  <c r="L112" i="3"/>
  <c r="J112" i="3"/>
  <c r="F112" i="3"/>
  <c r="M112" i="3" s="1"/>
  <c r="L111" i="3"/>
  <c r="J111" i="3"/>
  <c r="F111" i="3"/>
  <c r="M111" i="3" s="1"/>
  <c r="M110" i="3"/>
  <c r="L110" i="3"/>
  <c r="J110" i="3"/>
  <c r="F110" i="3"/>
  <c r="O110" i="5" s="1"/>
  <c r="M109" i="3"/>
  <c r="L109" i="3"/>
  <c r="J109" i="3"/>
  <c r="F109" i="3"/>
  <c r="O109" i="5" s="1"/>
  <c r="J108" i="3"/>
  <c r="F108" i="3"/>
  <c r="M107" i="3"/>
  <c r="L107" i="3"/>
  <c r="J107" i="3"/>
  <c r="F107" i="3"/>
  <c r="O107" i="5" s="1"/>
  <c r="M106" i="3"/>
  <c r="L106" i="3"/>
  <c r="J106" i="3"/>
  <c r="F106" i="3"/>
  <c r="O106" i="5" s="1"/>
  <c r="L105" i="3"/>
  <c r="J105" i="3"/>
  <c r="F105" i="3"/>
  <c r="M104" i="3"/>
  <c r="L104" i="3"/>
  <c r="J104" i="3"/>
  <c r="F104" i="3"/>
  <c r="M103" i="3"/>
  <c r="L103" i="3"/>
  <c r="J103" i="3"/>
  <c r="F103" i="3"/>
  <c r="J102" i="3"/>
  <c r="F102" i="3"/>
  <c r="M102" i="3" s="1"/>
  <c r="M101" i="3"/>
  <c r="L101" i="3"/>
  <c r="J101" i="3"/>
  <c r="F101" i="3"/>
  <c r="M100" i="3"/>
  <c r="L100" i="3"/>
  <c r="J100" i="3"/>
  <c r="F100" i="3"/>
  <c r="J99" i="3"/>
  <c r="F99" i="3"/>
  <c r="M99" i="3" s="1"/>
  <c r="M98" i="3"/>
  <c r="L98" i="3"/>
  <c r="J98" i="3"/>
  <c r="F98" i="3"/>
  <c r="O98" i="5" s="1"/>
  <c r="M97" i="3"/>
  <c r="L97" i="3"/>
  <c r="J97" i="3"/>
  <c r="F97" i="3"/>
  <c r="O97" i="5" s="1"/>
  <c r="J96" i="3"/>
  <c r="F96" i="3"/>
  <c r="M95" i="3"/>
  <c r="L95" i="3"/>
  <c r="J95" i="3"/>
  <c r="F95" i="3"/>
  <c r="O95" i="5" s="1"/>
  <c r="M94" i="3"/>
  <c r="L94" i="3"/>
  <c r="J94" i="3"/>
  <c r="F94" i="3"/>
  <c r="O94" i="5" s="1"/>
  <c r="L93" i="3"/>
  <c r="J93" i="3"/>
  <c r="F93" i="3"/>
  <c r="M92" i="3"/>
  <c r="L92" i="3"/>
  <c r="J92" i="3"/>
  <c r="F92" i="3"/>
  <c r="M91" i="3"/>
  <c r="L91" i="3"/>
  <c r="J91" i="3"/>
  <c r="F91" i="3"/>
  <c r="L90" i="3"/>
  <c r="J90" i="3"/>
  <c r="F90" i="3"/>
  <c r="M90" i="3" s="1"/>
  <c r="M89" i="3"/>
  <c r="L89" i="3"/>
  <c r="J89" i="3"/>
  <c r="F89" i="3"/>
  <c r="M88" i="3"/>
  <c r="L88" i="3"/>
  <c r="J88" i="3"/>
  <c r="F88" i="3"/>
  <c r="L87" i="3"/>
  <c r="J87" i="3"/>
  <c r="F87" i="3"/>
  <c r="M87" i="3" s="1"/>
  <c r="M86" i="3"/>
  <c r="L86" i="3"/>
  <c r="J86" i="3"/>
  <c r="F86" i="3"/>
  <c r="O86" i="5" s="1"/>
  <c r="M85" i="3"/>
  <c r="L85" i="3"/>
  <c r="J85" i="3"/>
  <c r="F85" i="3"/>
  <c r="O85" i="5" s="1"/>
  <c r="J84" i="3"/>
  <c r="F84" i="3"/>
  <c r="M83" i="3"/>
  <c r="L83" i="3"/>
  <c r="J83" i="3"/>
  <c r="F83" i="3"/>
  <c r="O83" i="5" s="1"/>
  <c r="M82" i="3"/>
  <c r="L82" i="3"/>
  <c r="J82" i="3"/>
  <c r="F82" i="3"/>
  <c r="O82" i="5" s="1"/>
  <c r="J81" i="3"/>
  <c r="F81" i="3"/>
  <c r="M80" i="3"/>
  <c r="L80" i="3"/>
  <c r="J80" i="3"/>
  <c r="F80" i="3"/>
  <c r="L79" i="3"/>
  <c r="J79" i="3"/>
  <c r="F79" i="3"/>
  <c r="M79" i="3" s="1"/>
  <c r="L78" i="3"/>
  <c r="J78" i="3"/>
  <c r="F78" i="3"/>
  <c r="M78" i="3" s="1"/>
  <c r="M77" i="3"/>
  <c r="L77" i="3"/>
  <c r="J77" i="3"/>
  <c r="F77" i="3"/>
  <c r="L76" i="3"/>
  <c r="J76" i="3"/>
  <c r="F76" i="3"/>
  <c r="M76" i="3" s="1"/>
  <c r="L75" i="3"/>
  <c r="J75" i="3"/>
  <c r="F75" i="3"/>
  <c r="M75" i="3" s="1"/>
  <c r="M74" i="3"/>
  <c r="L74" i="3"/>
  <c r="J74" i="3"/>
  <c r="F74" i="3"/>
  <c r="O74" i="5" s="1"/>
  <c r="M73" i="3"/>
  <c r="L73" i="3"/>
  <c r="J73" i="3"/>
  <c r="F73" i="3"/>
  <c r="O73" i="5" s="1"/>
  <c r="J72" i="3"/>
  <c r="F72" i="3"/>
  <c r="L72" i="3" s="1"/>
  <c r="M71" i="3"/>
  <c r="L71" i="3"/>
  <c r="J71" i="3"/>
  <c r="F71" i="3"/>
  <c r="O71" i="5" s="1"/>
  <c r="M70" i="3"/>
  <c r="L70" i="3"/>
  <c r="J70" i="3"/>
  <c r="F70" i="3"/>
  <c r="O70" i="5" s="1"/>
  <c r="J69" i="3"/>
  <c r="F69" i="3"/>
  <c r="L69" i="3" s="1"/>
  <c r="M68" i="3"/>
  <c r="L68" i="3"/>
  <c r="J68" i="3"/>
  <c r="F68" i="3"/>
  <c r="M67" i="3"/>
  <c r="L67" i="3"/>
  <c r="J67" i="3"/>
  <c r="F67" i="3"/>
  <c r="J66" i="3"/>
  <c r="F66" i="3"/>
  <c r="M66" i="3" s="1"/>
  <c r="M65" i="3"/>
  <c r="L65" i="3"/>
  <c r="J65" i="3"/>
  <c r="F65" i="3"/>
  <c r="M64" i="3"/>
  <c r="L64" i="3"/>
  <c r="J64" i="3"/>
  <c r="F64" i="3"/>
  <c r="J63" i="3"/>
  <c r="F63" i="3"/>
  <c r="M63" i="3" s="1"/>
  <c r="M62" i="3"/>
  <c r="L62" i="3"/>
  <c r="J62" i="3"/>
  <c r="F62" i="3"/>
  <c r="O62" i="5" s="1"/>
  <c r="M61" i="3"/>
  <c r="L61" i="3"/>
  <c r="J61" i="3"/>
  <c r="F61" i="3"/>
  <c r="O61" i="5" s="1"/>
  <c r="J60" i="3"/>
  <c r="F60" i="3"/>
  <c r="M59" i="3"/>
  <c r="L59" i="3"/>
  <c r="J59" i="3"/>
  <c r="F59" i="3"/>
  <c r="O59" i="5" s="1"/>
  <c r="M58" i="3"/>
  <c r="L58" i="3"/>
  <c r="J58" i="3"/>
  <c r="F58" i="3"/>
  <c r="O58" i="5" s="1"/>
  <c r="L57" i="3"/>
  <c r="J57" i="3"/>
  <c r="F57" i="3"/>
  <c r="M56" i="3"/>
  <c r="L56" i="3"/>
  <c r="J56" i="3"/>
  <c r="F56" i="3"/>
  <c r="M55" i="3"/>
  <c r="L55" i="3"/>
  <c r="J55" i="3"/>
  <c r="F55" i="3"/>
  <c r="L54" i="3"/>
  <c r="J54" i="3"/>
  <c r="F54" i="3"/>
  <c r="M54" i="3" s="1"/>
  <c r="M53" i="3"/>
  <c r="L53" i="3"/>
  <c r="J53" i="3"/>
  <c r="F53" i="3"/>
  <c r="M52" i="3"/>
  <c r="L52" i="3"/>
  <c r="J52" i="3"/>
  <c r="F52" i="3"/>
  <c r="J51" i="3"/>
  <c r="F51" i="3"/>
  <c r="M51" i="3" s="1"/>
  <c r="M50" i="3"/>
  <c r="L50" i="3"/>
  <c r="J50" i="3"/>
  <c r="F50" i="3"/>
  <c r="O50" i="5" s="1"/>
  <c r="M49" i="3"/>
  <c r="L49" i="3"/>
  <c r="J49" i="3"/>
  <c r="F49" i="3"/>
  <c r="O49" i="5" s="1"/>
  <c r="L48" i="3"/>
  <c r="J48" i="3"/>
  <c r="F48" i="3"/>
  <c r="M47" i="3"/>
  <c r="L47" i="3"/>
  <c r="J47" i="3"/>
  <c r="F47" i="3"/>
  <c r="O47" i="5" s="1"/>
  <c r="M46" i="3"/>
  <c r="L46" i="3"/>
  <c r="J46" i="3"/>
  <c r="F46" i="3"/>
  <c r="O46" i="5" s="1"/>
  <c r="L45" i="3"/>
  <c r="J45" i="3"/>
  <c r="F45" i="3"/>
  <c r="M44" i="3"/>
  <c r="L44" i="3"/>
  <c r="J44" i="3"/>
  <c r="F44" i="3"/>
  <c r="M43" i="3"/>
  <c r="L43" i="3"/>
  <c r="J43" i="3"/>
  <c r="F43" i="3"/>
  <c r="J42" i="3"/>
  <c r="F42" i="3"/>
  <c r="M42" i="3" s="1"/>
  <c r="M41" i="3"/>
  <c r="L41" i="3"/>
  <c r="J41" i="3"/>
  <c r="F41" i="3"/>
  <c r="L40" i="3"/>
  <c r="J40" i="3"/>
  <c r="F40" i="3"/>
  <c r="M40" i="3" s="1"/>
  <c r="J39" i="3"/>
  <c r="F39" i="3"/>
  <c r="M39" i="3" s="1"/>
  <c r="M38" i="3"/>
  <c r="L38" i="3"/>
  <c r="J38" i="3"/>
  <c r="F38" i="3"/>
  <c r="O38" i="5" s="1"/>
  <c r="L37" i="3"/>
  <c r="J37" i="3"/>
  <c r="F37" i="3"/>
  <c r="O37" i="5" s="1"/>
  <c r="L36" i="3"/>
  <c r="J36" i="3"/>
  <c r="F36" i="3"/>
  <c r="M35" i="3"/>
  <c r="L35" i="3"/>
  <c r="J35" i="3"/>
  <c r="F35" i="3"/>
  <c r="O35" i="5" s="1"/>
  <c r="M34" i="3"/>
  <c r="L34" i="3"/>
  <c r="J34" i="3"/>
  <c r="F34" i="3"/>
  <c r="O34" i="5" s="1"/>
  <c r="L33" i="3"/>
  <c r="J33" i="3"/>
  <c r="F33" i="3"/>
  <c r="M32" i="3"/>
  <c r="L32" i="3"/>
  <c r="J32" i="3"/>
  <c r="F32" i="3"/>
  <c r="M31" i="3"/>
  <c r="L31" i="3"/>
  <c r="J31" i="3"/>
  <c r="F31" i="3"/>
  <c r="L30" i="3"/>
  <c r="J30" i="3"/>
  <c r="F30" i="3"/>
  <c r="M30" i="3" s="1"/>
  <c r="M29" i="3"/>
  <c r="L29" i="3"/>
  <c r="J29" i="3"/>
  <c r="F29" i="3"/>
  <c r="M28" i="3"/>
  <c r="L28" i="3"/>
  <c r="J28" i="3"/>
  <c r="F28" i="3"/>
  <c r="L27" i="3"/>
  <c r="J27" i="3"/>
  <c r="F27" i="3"/>
  <c r="M27" i="3" s="1"/>
  <c r="M26" i="3"/>
  <c r="L26" i="3"/>
  <c r="J26" i="3"/>
  <c r="F26" i="3"/>
  <c r="O26" i="5" s="1"/>
  <c r="L25" i="3"/>
  <c r="J25" i="3"/>
  <c r="F25" i="3"/>
  <c r="O25" i="5" s="1"/>
  <c r="J24" i="3"/>
  <c r="F24" i="3"/>
  <c r="M23" i="3"/>
  <c r="L23" i="3"/>
  <c r="J23" i="3"/>
  <c r="F23" i="3"/>
  <c r="O23" i="5" s="1"/>
  <c r="L22" i="3"/>
  <c r="J22" i="3"/>
  <c r="F22" i="3"/>
  <c r="M22" i="3" s="1"/>
  <c r="L21" i="3"/>
  <c r="J21" i="3"/>
  <c r="F21" i="3"/>
  <c r="M20" i="3"/>
  <c r="L20" i="3"/>
  <c r="J20" i="3"/>
  <c r="F20" i="3"/>
  <c r="M19" i="3"/>
  <c r="L19" i="3"/>
  <c r="J19" i="3"/>
  <c r="F19" i="3"/>
  <c r="J18" i="3"/>
  <c r="F18" i="3"/>
  <c r="M18" i="3" s="1"/>
  <c r="M17" i="3"/>
  <c r="L17" i="3"/>
  <c r="J17" i="3"/>
  <c r="F17" i="3"/>
  <c r="L16" i="3"/>
  <c r="J16" i="3"/>
  <c r="F16" i="3"/>
  <c r="M16" i="3" s="1"/>
  <c r="J15" i="3"/>
  <c r="F15" i="3"/>
  <c r="M15" i="3" s="1"/>
  <c r="M14" i="3"/>
  <c r="L14" i="3"/>
  <c r="J14" i="3"/>
  <c r="F14" i="3"/>
  <c r="O14" i="5" s="1"/>
  <c r="M13" i="3"/>
  <c r="L13" i="3"/>
  <c r="J13" i="3"/>
  <c r="F13" i="3"/>
  <c r="O13" i="5" s="1"/>
  <c r="J12" i="3"/>
  <c r="F12" i="3"/>
  <c r="L12" i="3" s="1"/>
  <c r="M11" i="3"/>
  <c r="L11" i="3"/>
  <c r="J11" i="3"/>
  <c r="F11" i="3"/>
  <c r="O11" i="5" s="1"/>
  <c r="M10" i="3"/>
  <c r="L10" i="3"/>
  <c r="J10" i="3"/>
  <c r="F10" i="3"/>
  <c r="O10" i="5" s="1"/>
  <c r="J9" i="3"/>
  <c r="F9" i="3"/>
  <c r="M8" i="3"/>
  <c r="L8" i="3"/>
  <c r="J8" i="3"/>
  <c r="F8" i="3"/>
  <c r="M7" i="3"/>
  <c r="L7" i="3"/>
  <c r="J7" i="3"/>
  <c r="F7" i="3"/>
  <c r="L6" i="3"/>
  <c r="J6" i="3"/>
  <c r="F6" i="3"/>
  <c r="M6" i="3" s="1"/>
  <c r="M5" i="3"/>
  <c r="L5" i="3"/>
  <c r="J5" i="3"/>
  <c r="F5" i="3"/>
  <c r="M108" i="3" l="1"/>
  <c r="O108" i="5"/>
  <c r="M141" i="3"/>
  <c r="O141" i="5"/>
  <c r="M177" i="3"/>
  <c r="O177" i="5"/>
  <c r="M237" i="3"/>
  <c r="L237" i="3"/>
  <c r="O237" i="5"/>
  <c r="L255" i="3"/>
  <c r="M255" i="3"/>
  <c r="L273" i="3"/>
  <c r="O273" i="5"/>
  <c r="M273" i="3"/>
  <c r="O102" i="5"/>
  <c r="O105" i="5"/>
  <c r="M105" i="3"/>
  <c r="M213" i="3"/>
  <c r="O213" i="5"/>
  <c r="M9" i="3"/>
  <c r="O9" i="5"/>
  <c r="L15" i="3"/>
  <c r="O36" i="5"/>
  <c r="M36" i="3"/>
  <c r="L39" i="3"/>
  <c r="M96" i="3"/>
  <c r="O96" i="5"/>
  <c r="L102" i="3"/>
  <c r="O129" i="5"/>
  <c r="M129" i="3"/>
  <c r="L135" i="3"/>
  <c r="M165" i="3"/>
  <c r="O165" i="5"/>
  <c r="L171" i="3"/>
  <c r="O201" i="5"/>
  <c r="M201" i="3"/>
  <c r="L207" i="3"/>
  <c r="M231" i="3"/>
  <c r="L231" i="3"/>
  <c r="M249" i="3"/>
  <c r="O249" i="5"/>
  <c r="L249" i="3"/>
  <c r="M267" i="3"/>
  <c r="L267" i="3"/>
  <c r="M285" i="3"/>
  <c r="L285" i="3"/>
  <c r="O285" i="5"/>
  <c r="O72" i="5"/>
  <c r="M72" i="3"/>
  <c r="O288" i="5"/>
  <c r="M288" i="3"/>
  <c r="L288" i="3"/>
  <c r="O135" i="5"/>
  <c r="O255" i="5"/>
  <c r="O33" i="5"/>
  <c r="M33" i="3"/>
  <c r="O93" i="5"/>
  <c r="M93" i="3"/>
  <c r="L99" i="3"/>
  <c r="L9" i="3"/>
  <c r="M60" i="3"/>
  <c r="O60" i="5"/>
  <c r="L66" i="3"/>
  <c r="L96" i="3"/>
  <c r="L129" i="3"/>
  <c r="L201" i="3"/>
  <c r="O228" i="5"/>
  <c r="M228" i="3"/>
  <c r="L228" i="3"/>
  <c r="L246" i="3"/>
  <c r="M246" i="3"/>
  <c r="O264" i="5"/>
  <c r="L264" i="3"/>
  <c r="M264" i="3"/>
  <c r="M282" i="3"/>
  <c r="L282" i="3"/>
  <c r="O18" i="5"/>
  <c r="O42" i="5"/>
  <c r="O66" i="5"/>
  <c r="O90" i="5"/>
  <c r="O114" i="5"/>
  <c r="O138" i="5"/>
  <c r="O162" i="5"/>
  <c r="O186" i="5"/>
  <c r="O210" i="5"/>
  <c r="O282" i="5"/>
  <c r="L18" i="3"/>
  <c r="L42" i="3"/>
  <c r="M270" i="3"/>
  <c r="L270" i="3"/>
  <c r="O132" i="5"/>
  <c r="M132" i="3"/>
  <c r="O15" i="5"/>
  <c r="O57" i="5"/>
  <c r="M57" i="3"/>
  <c r="L63" i="3"/>
  <c r="M120" i="3"/>
  <c r="O120" i="5"/>
  <c r="L126" i="3"/>
  <c r="O156" i="5"/>
  <c r="M156" i="3"/>
  <c r="O192" i="5"/>
  <c r="M192" i="3"/>
  <c r="L198" i="3"/>
  <c r="L108" i="3"/>
  <c r="L60" i="3"/>
  <c r="O84" i="5"/>
  <c r="M84" i="3"/>
  <c r="O117" i="5"/>
  <c r="M117" i="3"/>
  <c r="L123" i="3"/>
  <c r="M153" i="3"/>
  <c r="O153" i="5"/>
  <c r="L159" i="3"/>
  <c r="O189" i="5"/>
  <c r="M189" i="3"/>
  <c r="L195" i="3"/>
  <c r="M225" i="3"/>
  <c r="O225" i="5"/>
  <c r="L225" i="3"/>
  <c r="M243" i="3"/>
  <c r="L243" i="3"/>
  <c r="M261" i="3"/>
  <c r="L261" i="3"/>
  <c r="O261" i="5"/>
  <c r="L279" i="3"/>
  <c r="M279" i="3"/>
  <c r="L141" i="3"/>
  <c r="L177" i="3"/>
  <c r="L213" i="3"/>
  <c r="L234" i="3"/>
  <c r="M234" i="3"/>
  <c r="O252" i="5"/>
  <c r="M252" i="3"/>
  <c r="L252" i="3"/>
  <c r="M204" i="3"/>
  <c r="O204" i="5"/>
  <c r="O39" i="5"/>
  <c r="O207" i="5"/>
  <c r="O24" i="5"/>
  <c r="M24" i="3"/>
  <c r="O81" i="5"/>
  <c r="M81" i="3"/>
  <c r="L192" i="3"/>
  <c r="F290" i="3"/>
  <c r="O27" i="5"/>
  <c r="O51" i="5"/>
  <c r="O75" i="5"/>
  <c r="O99" i="5"/>
  <c r="O123" i="5"/>
  <c r="O147" i="5"/>
  <c r="O171" i="5"/>
  <c r="O195" i="5"/>
  <c r="O219" i="5"/>
  <c r="O243" i="5"/>
  <c r="O267" i="5"/>
  <c r="M69" i="3"/>
  <c r="O69" i="5"/>
  <c r="O168" i="5"/>
  <c r="M168" i="3"/>
  <c r="M48" i="3"/>
  <c r="O48" i="5"/>
  <c r="L84" i="3"/>
  <c r="L117" i="3"/>
  <c r="M240" i="3"/>
  <c r="O240" i="5"/>
  <c r="L240" i="3"/>
  <c r="M258" i="3"/>
  <c r="L258" i="3"/>
  <c r="M276" i="3"/>
  <c r="O276" i="5"/>
  <c r="L276" i="3"/>
  <c r="O12" i="5"/>
  <c r="M12" i="3"/>
  <c r="O21" i="5"/>
  <c r="M21" i="3"/>
  <c r="L24" i="3"/>
  <c r="M45" i="3"/>
  <c r="O45" i="5"/>
  <c r="L51" i="3"/>
  <c r="L81" i="3"/>
  <c r="L114" i="3"/>
  <c r="O144" i="5"/>
  <c r="M144" i="3"/>
  <c r="L150" i="3"/>
  <c r="O180" i="5"/>
  <c r="M180" i="3"/>
  <c r="L186" i="3"/>
  <c r="O216" i="5"/>
  <c r="M216" i="3"/>
  <c r="O22" i="5"/>
  <c r="M25" i="3"/>
  <c r="M37" i="3"/>
</calcChain>
</file>

<file path=xl/sharedStrings.xml><?xml version="1.0" encoding="utf-8"?>
<sst xmlns="http://schemas.openxmlformats.org/spreadsheetml/2006/main" count="5545" uniqueCount="573">
  <si>
    <t>Pump Change Risk Analysis — 16-18 Month Average Pump Life</t>
  </si>
  <si>
    <t>HIGH = running 12+ mo (due/overdue) | RECENTLY CHANGED = shutdown + restart in 2025 | DOWN NOW = not producing Dec 2025</t>
  </si>
  <si>
    <t>HIGH — DUE: 199 wells | WATCH: 11 wells | RECENTLY CHANGED: 14 wells | LOW: 31 wells | DOWN NOW: 30 wells</t>
  </si>
  <si>
    <t>Risk Level</t>
  </si>
  <si>
    <t>Well Identifier</t>
  </si>
  <si>
    <t>Facility Name</t>
  </si>
  <si>
    <t>Location</t>
  </si>
  <si>
    <t>Consec. Months Running</t>
  </si>
  <si>
    <t>Dec 2025 bbl/d</t>
  </si>
  <si>
    <t>2025 Total bbl</t>
  </si>
  <si>
    <t>Prod Hours</t>
  </si>
  <si>
    <t>Shutdown Months</t>
  </si>
  <si>
    <t>Restart Months</t>
  </si>
  <si>
    <t>Status Note</t>
  </si>
  <si>
    <t>HIGH — DUE</t>
  </si>
  <si>
    <t>100082908218W509</t>
  </si>
  <si>
    <t>OBE HVS 08-28-082-18W5</t>
  </si>
  <si>
    <t>08-28-082-18W5</t>
  </si>
  <si>
    <t>Running 12+ months (no shutdown in 2025) — likely at or past pump change window</t>
  </si>
  <si>
    <t>102081807916W509</t>
  </si>
  <si>
    <t>OBE PEAVINE 08-13-079-17W5</t>
  </si>
  <si>
    <t>13-079-17W5</t>
  </si>
  <si>
    <t>100141708317W509</t>
  </si>
  <si>
    <t>OBE HVS 13-08-083-17W5</t>
  </si>
  <si>
    <t>13-08-083-17W5</t>
  </si>
  <si>
    <t>100151908317W509</t>
  </si>
  <si>
    <t>OBE HVS 13-18-083-17W5</t>
  </si>
  <si>
    <t>13-18-083-17W5</t>
  </si>
  <si>
    <t>102041207917W508</t>
  </si>
  <si>
    <t>OBE DAWSON 13-13-079-17W5</t>
  </si>
  <si>
    <t>13-13-079-17W5</t>
  </si>
  <si>
    <t>100051907916W509</t>
  </si>
  <si>
    <t>100043208319W509</t>
  </si>
  <si>
    <t>OBE CADOTTE 02-05-084-19W5</t>
  </si>
  <si>
    <t>05-084-19W5</t>
  </si>
  <si>
    <t>102011207917W509</t>
  </si>
  <si>
    <t>OBE DAWSON 07-13-079-17W5</t>
  </si>
  <si>
    <t>102143008216W509</t>
  </si>
  <si>
    <t>OBE WALRUS 13-19-082-16W5</t>
  </si>
  <si>
    <t>19-082-16W5</t>
  </si>
  <si>
    <t>103012708218W509</t>
  </si>
  <si>
    <t>102082708218W509</t>
  </si>
  <si>
    <t>100081807916W509</t>
  </si>
  <si>
    <t>100053207917W508</t>
  </si>
  <si>
    <t>OBE DAWSON 12-33-079-17W5</t>
  </si>
  <si>
    <t>33-079-17W5</t>
  </si>
  <si>
    <t>100132908216W509</t>
  </si>
  <si>
    <t>OBE WALRUS 06-20-082-16W5</t>
  </si>
  <si>
    <t>20-082-16W5</t>
  </si>
  <si>
    <t>100013208319W509</t>
  </si>
  <si>
    <t>103151908217W509</t>
  </si>
  <si>
    <t>OBE HVS 06-31-082-17W5</t>
  </si>
  <si>
    <t>06-31-082-17W5</t>
  </si>
  <si>
    <t>100033208319W509</t>
  </si>
  <si>
    <t>100090608316W509</t>
  </si>
  <si>
    <t>OBE WALRUS 15-01-083-17W5</t>
  </si>
  <si>
    <t>01-083-17W5</t>
  </si>
  <si>
    <t>102021207917W509</t>
  </si>
  <si>
    <t>100092208019W508</t>
  </si>
  <si>
    <t>OBE DAWSON 09-21-080-19W5</t>
  </si>
  <si>
    <t>21-080-19W5</t>
  </si>
  <si>
    <t>102122807917W508</t>
  </si>
  <si>
    <t>OBE DAWSON 05-27-079-17W5 MWPB</t>
  </si>
  <si>
    <t>05-27-079-17W5</t>
  </si>
  <si>
    <t>103153008216W509</t>
  </si>
  <si>
    <t>OBE WALRUS 15-19-082-16W5</t>
  </si>
  <si>
    <t>100052807917W508</t>
  </si>
  <si>
    <t>103113608218W509</t>
  </si>
  <si>
    <t>OBE HVS 15-06-083-17W5</t>
  </si>
  <si>
    <t>15-06-083-17W5</t>
  </si>
  <si>
    <t>103132208419W509</t>
  </si>
  <si>
    <t>OBE CADOTTE 13-15-084-19W5</t>
  </si>
  <si>
    <t>15-084-19W5</t>
  </si>
  <si>
    <t>100133008216W509</t>
  </si>
  <si>
    <t>100012908218W509</t>
  </si>
  <si>
    <t>100121407917W509</t>
  </si>
  <si>
    <t>103032608218W509</t>
  </si>
  <si>
    <t>OBE HVS 03-35-082-18W5</t>
  </si>
  <si>
    <t>03-35-082-18W5</t>
  </si>
  <si>
    <t>104051308218W509</t>
  </si>
  <si>
    <t>OBE HVS 04-19-082-17W5</t>
  </si>
  <si>
    <t>04-19-082-17W5</t>
  </si>
  <si>
    <t>100023208319W509</t>
  </si>
  <si>
    <t>102123207917W508</t>
  </si>
  <si>
    <t>106093208115W507</t>
  </si>
  <si>
    <t>OBE SEAL 13-08-082-15W5</t>
  </si>
  <si>
    <t>13-08-082-15W5</t>
  </si>
  <si>
    <t>100021207917W508</t>
  </si>
  <si>
    <t>102122408218W509</t>
  </si>
  <si>
    <t>OBE HVS 14-25-082-18W5</t>
  </si>
  <si>
    <t>14-25-082-18W5</t>
  </si>
  <si>
    <t>105163208115W509</t>
  </si>
  <si>
    <t>104141908217W509</t>
  </si>
  <si>
    <t>104083208115W509</t>
  </si>
  <si>
    <t>100040708317W509</t>
  </si>
  <si>
    <t>OBE HVS 13-05-083-18W5</t>
  </si>
  <si>
    <t>13-05-083-17W5</t>
  </si>
  <si>
    <t>106010808215W505</t>
  </si>
  <si>
    <t>102092308218W509</t>
  </si>
  <si>
    <t>104052408218W509</t>
  </si>
  <si>
    <t>OBE HVS 12-13-082-18W5</t>
  </si>
  <si>
    <t>12-13-082-18W5</t>
  </si>
  <si>
    <t>104092908115W506</t>
  </si>
  <si>
    <t>104131908217W509</t>
  </si>
  <si>
    <t>100131407917W509</t>
  </si>
  <si>
    <t>104160808215W509</t>
  </si>
  <si>
    <t>100143008216W509</t>
  </si>
  <si>
    <t>106080508215W509</t>
  </si>
  <si>
    <t>1S0032908217W509</t>
  </si>
  <si>
    <t>OBE HVS 04-32-082-17W5</t>
  </si>
  <si>
    <t>32-082-17W5</t>
  </si>
  <si>
    <t>102103608218W509</t>
  </si>
  <si>
    <t>108160508215W506</t>
  </si>
  <si>
    <t>100101808216W509</t>
  </si>
  <si>
    <t>100023007816W500</t>
  </si>
  <si>
    <t>OBE PEAVINE 07-31-078-16W5</t>
  </si>
  <si>
    <t>07-31-078-16W5</t>
  </si>
  <si>
    <t>102153008216W509</t>
  </si>
  <si>
    <t>102062408218W509</t>
  </si>
  <si>
    <t>100160107816W500</t>
  </si>
  <si>
    <t>OBE DAWSON 15-02-078-16W5</t>
  </si>
  <si>
    <t>15-02-078-16W5</t>
  </si>
  <si>
    <t>100030908013W508</t>
  </si>
  <si>
    <t xml:space="preserve">OBE GIFT LAKE 13-33-079-13W5 </t>
  </si>
  <si>
    <t>13-33-079-13W5</t>
  </si>
  <si>
    <t>100083408218W509</t>
  </si>
  <si>
    <t>104093508218W509</t>
  </si>
  <si>
    <t>1S0013008217W509</t>
  </si>
  <si>
    <t>102163008216W509</t>
  </si>
  <si>
    <t>100162208019W509</t>
  </si>
  <si>
    <t>103162908115W506</t>
  </si>
  <si>
    <t>100023508218W509</t>
  </si>
  <si>
    <t>OBE HVS 13-30-082-17W5</t>
  </si>
  <si>
    <t>13-30-082-17W5</t>
  </si>
  <si>
    <t>100011708317W509</t>
  </si>
  <si>
    <t>OBE HVS 14-05-083-17W5</t>
  </si>
  <si>
    <t>14-05-083-17W5</t>
  </si>
  <si>
    <t>102143508218W509</t>
  </si>
  <si>
    <t>OBE HVS 11-26-082-18W5</t>
  </si>
  <si>
    <t>11-26-082-18W5</t>
  </si>
  <si>
    <t>1S0042908217W509</t>
  </si>
  <si>
    <t>102023007816W500</t>
  </si>
  <si>
    <t>100130508317W509</t>
  </si>
  <si>
    <t>100090107816W500</t>
  </si>
  <si>
    <t>100160608316W509</t>
  </si>
  <si>
    <t>100163408218W509</t>
  </si>
  <si>
    <t>OBE HVS 02-34-082-18W5</t>
  </si>
  <si>
    <t>02-34-082-18W5</t>
  </si>
  <si>
    <t>105090808215W507</t>
  </si>
  <si>
    <t>102081107816W500</t>
  </si>
  <si>
    <t>OBE PEAVINE 03-10-078-16W5</t>
  </si>
  <si>
    <t>03-10-078-16W5</t>
  </si>
  <si>
    <t>100131607816W500</t>
  </si>
  <si>
    <t>OBE PEAVINE 11-15-078-16W5</t>
  </si>
  <si>
    <t>11-15-078-16W5</t>
  </si>
  <si>
    <t>100011907916W500</t>
  </si>
  <si>
    <t>OBE PEAVINE 05-21-079-16W5</t>
  </si>
  <si>
    <t>21-079-16W5</t>
  </si>
  <si>
    <t>105132508419W509</t>
  </si>
  <si>
    <t>OBE CADOTTE 12-30-084-18W5</t>
  </si>
  <si>
    <t>12-30-084-18W5</t>
  </si>
  <si>
    <t>102080107816W500</t>
  </si>
  <si>
    <t>102133108318W509</t>
  </si>
  <si>
    <t>OBE CADOTTE 13-32-083-18W5</t>
  </si>
  <si>
    <t>13-32-083-18W5</t>
  </si>
  <si>
    <t>100040608317W502</t>
  </si>
  <si>
    <t>102131607816W500</t>
  </si>
  <si>
    <t>104113608218W509</t>
  </si>
  <si>
    <t>102042807916W500</t>
  </si>
  <si>
    <t>OBE PEAVINE 13-16-079-16W5</t>
  </si>
  <si>
    <t>13-16-079-16W5</t>
  </si>
  <si>
    <t>102113608218W509</t>
  </si>
  <si>
    <t>102083107816W500</t>
  </si>
  <si>
    <t>OBE PEAVINE 12-31-078-16W5</t>
  </si>
  <si>
    <t>12-31-078-16W5</t>
  </si>
  <si>
    <t>100071507816W500</t>
  </si>
  <si>
    <t>100123508218W509</t>
  </si>
  <si>
    <t>100121808216W509</t>
  </si>
  <si>
    <t>100150708317W509</t>
  </si>
  <si>
    <t>103091807916W500</t>
  </si>
  <si>
    <t>100160808317W509</t>
  </si>
  <si>
    <t>103052408218W502</t>
  </si>
  <si>
    <t>OBE HVS 12-25-082-18W5</t>
  </si>
  <si>
    <t>12-25-082-18W5</t>
  </si>
  <si>
    <t>102082508218W509</t>
  </si>
  <si>
    <t>OBE HVS 16-13-082-18W5</t>
  </si>
  <si>
    <t>16-13-082-18W5</t>
  </si>
  <si>
    <t>100032807916W500</t>
  </si>
  <si>
    <t>103143108217W509</t>
  </si>
  <si>
    <t>100141808216W509</t>
  </si>
  <si>
    <t>103010508215W509</t>
  </si>
  <si>
    <t>100163607716W500</t>
  </si>
  <si>
    <t>OBE DAWSON 02-02-078-16W5 SWB</t>
  </si>
  <si>
    <t>02-078-16W5</t>
  </si>
  <si>
    <t>100132708415W508</t>
  </si>
  <si>
    <t>OBE NAMPA 15-22-084-15W5</t>
  </si>
  <si>
    <t>15-22-084-15W5</t>
  </si>
  <si>
    <t>100163107715W500</t>
  </si>
  <si>
    <t>OBE DAWSON 10-36-077-15W5</t>
  </si>
  <si>
    <t>36-077-16W5</t>
  </si>
  <si>
    <t>102161807916W500</t>
  </si>
  <si>
    <t>100091007816W500</t>
  </si>
  <si>
    <t>104080508215W509</t>
  </si>
  <si>
    <t>100081107816W500</t>
  </si>
  <si>
    <t>100013007816W500</t>
  </si>
  <si>
    <t>104123608218W509</t>
  </si>
  <si>
    <t>OBE HVS 13-06-083-17W5</t>
  </si>
  <si>
    <t>13-06-083-17W5</t>
  </si>
  <si>
    <t>100161807916W500</t>
  </si>
  <si>
    <t>102032807916W500</t>
  </si>
  <si>
    <t>100091808216W509</t>
  </si>
  <si>
    <t>100160207816W500</t>
  </si>
  <si>
    <t>OBE DAWSON 02-02-078-16W5 MWB</t>
  </si>
  <si>
    <t>02-02-078-16W5</t>
  </si>
  <si>
    <t>100080107816W500</t>
  </si>
  <si>
    <t>OBE DAWSON 02-02-78-16W5 SWB</t>
  </si>
  <si>
    <t>100033208217W509</t>
  </si>
  <si>
    <t>OBE HVS 06-04-083-17W5</t>
  </si>
  <si>
    <t>04-083-17W5</t>
  </si>
  <si>
    <t>100143508218W509</t>
  </si>
  <si>
    <t>102013007816W500</t>
  </si>
  <si>
    <t>102140708317W509</t>
  </si>
  <si>
    <t>104052508419W509</t>
  </si>
  <si>
    <t>102091807916W500</t>
  </si>
  <si>
    <t>100160607916W500</t>
  </si>
  <si>
    <t>OBE PEAVINE 13-31-078-16W5</t>
  </si>
  <si>
    <t>13-31-078-16W5</t>
  </si>
  <si>
    <t>100133207917W508</t>
  </si>
  <si>
    <t>100040908013W500</t>
  </si>
  <si>
    <t>100041308218W509</t>
  </si>
  <si>
    <t>100162208419W509</t>
  </si>
  <si>
    <t>OBE CADOTTE 15-15-084-19W5</t>
  </si>
  <si>
    <t>15-15-084-19W5</t>
  </si>
  <si>
    <t>100142208419W509</t>
  </si>
  <si>
    <t>100053108318W509</t>
  </si>
  <si>
    <t>OBE CADOTTE 05-32-083-18W5</t>
  </si>
  <si>
    <t>05-32-083-18W5</t>
  </si>
  <si>
    <t>100010107816W500</t>
  </si>
  <si>
    <t>104132308419W509</t>
  </si>
  <si>
    <t>OBE CADOTTE 13-14-084-19W5</t>
  </si>
  <si>
    <t>13-14-084-19W5</t>
  </si>
  <si>
    <t>104152308419W509</t>
  </si>
  <si>
    <t>OBE CADOTTE 15-14-084-19W5</t>
  </si>
  <si>
    <t>15-14-084-19W5</t>
  </si>
  <si>
    <t>103123608218W509</t>
  </si>
  <si>
    <t>105132408419W509</t>
  </si>
  <si>
    <t>OBE CADOTTE 13-13-084-19W5</t>
  </si>
  <si>
    <t>13-13-084-19W5</t>
  </si>
  <si>
    <t>106042508419W508</t>
  </si>
  <si>
    <t>OBE CADOTTE 04-30-084-18W5</t>
  </si>
  <si>
    <t>04-30-084-18W5</t>
  </si>
  <si>
    <t>102040508317W509</t>
  </si>
  <si>
    <t>100163107816W500</t>
  </si>
  <si>
    <t>102093107816W502</t>
  </si>
  <si>
    <t>100082907916W500</t>
  </si>
  <si>
    <t>OBE PEAVINE 01-28-079-16W5</t>
  </si>
  <si>
    <t>01-28-079-16W5</t>
  </si>
  <si>
    <t>100042207916W500</t>
  </si>
  <si>
    <t>102150708317W509</t>
  </si>
  <si>
    <t>103043108318W509</t>
  </si>
  <si>
    <t>1W0130808317W509</t>
  </si>
  <si>
    <t>104162308419W508</t>
  </si>
  <si>
    <t>100083308218W509</t>
  </si>
  <si>
    <t>OBE HVS 16-27-082-18W5</t>
  </si>
  <si>
    <t>16-27-082-18W5</t>
  </si>
  <si>
    <t>103143408318W509</t>
  </si>
  <si>
    <t>OBE CADOTTE 14-27-083-18W5</t>
  </si>
  <si>
    <t>14-27-083-18W5</t>
  </si>
  <si>
    <t>104093608218W509</t>
  </si>
  <si>
    <t>OBE HVS 16-25-082-15W5</t>
  </si>
  <si>
    <t>16-25-082-18W5</t>
  </si>
  <si>
    <t>105142408419W509</t>
  </si>
  <si>
    <t>OBE CADOTTE 14-13-084-19W5</t>
  </si>
  <si>
    <t>14-13-084-19W5</t>
  </si>
  <si>
    <t>100041908318W509</t>
  </si>
  <si>
    <t>OBE CADOTTE 03-30-083-18W5</t>
  </si>
  <si>
    <t>03-30-083-18W5</t>
  </si>
  <si>
    <t>102163008318W509</t>
  </si>
  <si>
    <t>OBE CADOTTE 04-29-083-18W5</t>
  </si>
  <si>
    <t>04-29-083-18W5</t>
  </si>
  <si>
    <t>102143008318W509</t>
  </si>
  <si>
    <t>100010608013W502</t>
  </si>
  <si>
    <t>102143408318W509</t>
  </si>
  <si>
    <t>102033208217W509</t>
  </si>
  <si>
    <t>102143108217W509</t>
  </si>
  <si>
    <t>100121908217W509</t>
  </si>
  <si>
    <t>OBE HVS 09-25-082-18W5</t>
  </si>
  <si>
    <t>09-25-082-18W5</t>
  </si>
  <si>
    <t>100040908012W500</t>
  </si>
  <si>
    <t>OBE GIFT LAKE 13-03-080-12W5</t>
  </si>
  <si>
    <t>03-080-12W5</t>
  </si>
  <si>
    <t>100161208318W509</t>
  </si>
  <si>
    <t>OBE HVS 16-01-083-18W5</t>
  </si>
  <si>
    <t>16-01-083-18W5</t>
  </si>
  <si>
    <t>100150108318W509</t>
  </si>
  <si>
    <t>100042208215W508</t>
  </si>
  <si>
    <t>OBE SEAL 03-27-082-15W5</t>
  </si>
  <si>
    <t>27-082-15W5</t>
  </si>
  <si>
    <t>100022008318W509</t>
  </si>
  <si>
    <t>OBE CADOTTE 03-29-083-18W5</t>
  </si>
  <si>
    <t>03-29-083-18W5</t>
  </si>
  <si>
    <t>100041608012W509</t>
  </si>
  <si>
    <t>OBE GIFT LAKE 04-15-080-12W5</t>
  </si>
  <si>
    <t>15-080-12W5</t>
  </si>
  <si>
    <t>100093108318W509</t>
  </si>
  <si>
    <t>100081908217W509</t>
  </si>
  <si>
    <t>100163108318W509</t>
  </si>
  <si>
    <t>OBE CADOTTE 04-32-083-18W5</t>
  </si>
  <si>
    <t>04-32-083-18W5</t>
  </si>
  <si>
    <t>102011308218W509</t>
  </si>
  <si>
    <t>100021808217W509</t>
  </si>
  <si>
    <t>OBE HVS 03-19-082-17W5</t>
  </si>
  <si>
    <t>03-19-082-17W5</t>
  </si>
  <si>
    <t>102123608218W509</t>
  </si>
  <si>
    <t>100162908318W509</t>
  </si>
  <si>
    <t>OBE CADOTTE 13-27-083-18W5</t>
  </si>
  <si>
    <t>13-27-083-18W5</t>
  </si>
  <si>
    <t>102163107816W500</t>
  </si>
  <si>
    <t>1W0133108217W509</t>
  </si>
  <si>
    <t>103133408318W509</t>
  </si>
  <si>
    <t>106132508419W508</t>
  </si>
  <si>
    <t>102013108217W509</t>
  </si>
  <si>
    <t>OBE HVS 02-05-082-17W5</t>
  </si>
  <si>
    <t>01-05-083-17W5</t>
  </si>
  <si>
    <t>100011908318W509</t>
  </si>
  <si>
    <t>OBE CADOTTE 02-30-083-18W5</t>
  </si>
  <si>
    <t>02-30-083-18W5</t>
  </si>
  <si>
    <t>103080808215W500</t>
  </si>
  <si>
    <t>100060808215W508</t>
  </si>
  <si>
    <t>104041808217W509</t>
  </si>
  <si>
    <t>103090508215W500</t>
  </si>
  <si>
    <t>100163508218W509</t>
  </si>
  <si>
    <t>103160808215W500</t>
  </si>
  <si>
    <t>100043007816W500</t>
  </si>
  <si>
    <t>100043008318W509</t>
  </si>
  <si>
    <t>100011308218W509</t>
  </si>
  <si>
    <t>100023208318W509</t>
  </si>
  <si>
    <t>102021908318W509</t>
  </si>
  <si>
    <t>100031308218W509</t>
  </si>
  <si>
    <t>102142408419W500</t>
  </si>
  <si>
    <t>100080808215W500</t>
  </si>
  <si>
    <t>104020808317W509</t>
  </si>
  <si>
    <t>100140808317W509</t>
  </si>
  <si>
    <t>103082408218W509</t>
  </si>
  <si>
    <t>103090808215W500</t>
  </si>
  <si>
    <t>102153108217W509</t>
  </si>
  <si>
    <t>100151908217W509</t>
  </si>
  <si>
    <t>100152408419W500</t>
  </si>
  <si>
    <t>OBE CADOTTE 16-13-084-19W5</t>
  </si>
  <si>
    <t>16-13-084-19W5</t>
  </si>
  <si>
    <t>100061908318W509</t>
  </si>
  <si>
    <t>100092608415W507</t>
  </si>
  <si>
    <t>OBE NAMPA 16-23-084-15W5</t>
  </si>
  <si>
    <t>16-23-084-15W5</t>
  </si>
  <si>
    <t>100142408419W500</t>
  </si>
  <si>
    <t>103131908217W509</t>
  </si>
  <si>
    <t>100033208318W509</t>
  </si>
  <si>
    <t>100143008318W502</t>
  </si>
  <si>
    <t>100162608415W500</t>
  </si>
  <si>
    <t>104090808215W500</t>
  </si>
  <si>
    <t>WATCH</t>
  </si>
  <si>
    <t>100062207917W509</t>
  </si>
  <si>
    <t>OBE DAWSON 04-23-079-17W5</t>
  </si>
  <si>
    <t>04-23-079-17W5</t>
  </si>
  <si>
    <t>Mar</t>
  </si>
  <si>
    <t>Running 10 months — approaching window</t>
  </si>
  <si>
    <t>102041108114W509</t>
  </si>
  <si>
    <t>OBE SEAL 04-14-081-14W5 MWB</t>
  </si>
  <si>
    <t>04-14-081-14W5</t>
  </si>
  <si>
    <t>102082107917W509</t>
  </si>
  <si>
    <t>103090508415W509</t>
  </si>
  <si>
    <t>OBE NAMPA 09-06-084-15W5</t>
  </si>
  <si>
    <t>09-06-084-15W5</t>
  </si>
  <si>
    <t>1W0120408415W509</t>
  </si>
  <si>
    <t>102060108216W503</t>
  </si>
  <si>
    <t>Pennwest Seal</t>
  </si>
  <si>
    <t>13-06-082-15W5</t>
  </si>
  <si>
    <t>Feb</t>
  </si>
  <si>
    <t>Running 11 months — approaching window</t>
  </si>
  <si>
    <t>100042807916W500</t>
  </si>
  <si>
    <t>100163408318W509</t>
  </si>
  <si>
    <t>100160508317W509</t>
  </si>
  <si>
    <t>100092908318W509</t>
  </si>
  <si>
    <t>102032308419W509</t>
  </si>
  <si>
    <t>RECENTLY CHANGED</t>
  </si>
  <si>
    <t>100021908317W509</t>
  </si>
  <si>
    <t>OBE HVS 14-07-083-17W5 MWB</t>
  </si>
  <si>
    <t>14-07-083-17W5</t>
  </si>
  <si>
    <t>Jul</t>
  </si>
  <si>
    <t>May, Aug</t>
  </si>
  <si>
    <t>Likely pump change around Aug — running 5 months since</t>
  </si>
  <si>
    <t>102162107917W509</t>
  </si>
  <si>
    <t>OBE DAWSON 13-23-079-17W5 MWB</t>
  </si>
  <si>
    <t>13-23-079-17W5</t>
  </si>
  <si>
    <t>Aug</t>
  </si>
  <si>
    <t>100012807917W508</t>
  </si>
  <si>
    <t>100021608216W509</t>
  </si>
  <si>
    <t>OBE WALRUS 07-21-082-16W5</t>
  </si>
  <si>
    <t>07-21-082-16W5</t>
  </si>
  <si>
    <t>Apr</t>
  </si>
  <si>
    <t>Likely pump change around Apr — running 9 months since</t>
  </si>
  <si>
    <t>100032207917W509</t>
  </si>
  <si>
    <t>Apr, Oct</t>
  </si>
  <si>
    <t>Likely pump change around Oct — running 3 months since</t>
  </si>
  <si>
    <t>100043507917W509</t>
  </si>
  <si>
    <t>100013508516W509</t>
  </si>
  <si>
    <t>OBE NAMPA 07-34-085-16W5</t>
  </si>
  <si>
    <t>34-085-16W5</t>
  </si>
  <si>
    <t>Feb, Nov</t>
  </si>
  <si>
    <t>Likely pump change around Nov — running 2 months since</t>
  </si>
  <si>
    <t>100151208317W509</t>
  </si>
  <si>
    <t>Oct</t>
  </si>
  <si>
    <t>103143008318W509</t>
  </si>
  <si>
    <t>Jun</t>
  </si>
  <si>
    <t>Likely pump change around Jun — running 7 months since</t>
  </si>
  <si>
    <t>100013308218W509</t>
  </si>
  <si>
    <t>May</t>
  </si>
  <si>
    <t>102043208318W509</t>
  </si>
  <si>
    <t>Likely pump change around Jul — running 6 months since</t>
  </si>
  <si>
    <t>100153108217W509</t>
  </si>
  <si>
    <t>Feb, Apr</t>
  </si>
  <si>
    <t>102151908217W509</t>
  </si>
  <si>
    <t>Jun, Oct</t>
  </si>
  <si>
    <t>Jul, Nov</t>
  </si>
  <si>
    <t>100151908318W509</t>
  </si>
  <si>
    <t>Sep</t>
  </si>
  <si>
    <t>Likely pump change around Sep — running 4 months since</t>
  </si>
  <si>
    <t>LOW</t>
  </si>
  <si>
    <t>102161808317W509</t>
  </si>
  <si>
    <t>Running 9 months</t>
  </si>
  <si>
    <t>100161508216W509</t>
  </si>
  <si>
    <t>Running 8 months</t>
  </si>
  <si>
    <t>102132307917W509</t>
  </si>
  <si>
    <t>100131708317W509</t>
  </si>
  <si>
    <t>100141808317W509</t>
  </si>
  <si>
    <t>Running 5 months</t>
  </si>
  <si>
    <t>100052307917W509</t>
  </si>
  <si>
    <t>OBE DAWSON 04-24-079-17W5</t>
  </si>
  <si>
    <t>04-24-079-17W5</t>
  </si>
  <si>
    <t>100012207917W509</t>
  </si>
  <si>
    <t>100061307917W509</t>
  </si>
  <si>
    <t>102052307917W508</t>
  </si>
  <si>
    <t>102141908317W509</t>
  </si>
  <si>
    <t>100122407917W508</t>
  </si>
  <si>
    <t>100131808317W509</t>
  </si>
  <si>
    <t>103162107917W508</t>
  </si>
  <si>
    <t>102092107917W509</t>
  </si>
  <si>
    <t>100132407917W508</t>
  </si>
  <si>
    <t>100041307917W509</t>
  </si>
  <si>
    <t>100131908317W509</t>
  </si>
  <si>
    <t>100031608216W509</t>
  </si>
  <si>
    <t>100042507917W509</t>
  </si>
  <si>
    <t>Running 4 months</t>
  </si>
  <si>
    <t>102082707917W508</t>
  </si>
  <si>
    <t>OBE DAWSON 09-28-079-17W5 BT</t>
  </si>
  <si>
    <t>09-28-079-17W5</t>
  </si>
  <si>
    <t>Running 3 months</t>
  </si>
  <si>
    <t>102092707917W508</t>
  </si>
  <si>
    <t>102132807917W509</t>
  </si>
  <si>
    <t>100013407917W508</t>
  </si>
  <si>
    <t>100161008218W509</t>
  </si>
  <si>
    <t>OBE HVS 16-09-082-18W5</t>
  </si>
  <si>
    <t>16-09-082-18W5</t>
  </si>
  <si>
    <t>100162707917W508</t>
  </si>
  <si>
    <t>100092707917W508</t>
  </si>
  <si>
    <t>100042807917W509</t>
  </si>
  <si>
    <t>102052807917W509</t>
  </si>
  <si>
    <t>102071907916W509</t>
  </si>
  <si>
    <t>OBE PEAVINE 07-18-079-16W5 MWPB</t>
  </si>
  <si>
    <t>18-079-16W5</t>
  </si>
  <si>
    <t>Nov</t>
  </si>
  <si>
    <t>Running 2 months</t>
  </si>
  <si>
    <t>102061907916W509</t>
  </si>
  <si>
    <t>100071907916W509</t>
  </si>
  <si>
    <t>DOWN NOW</t>
  </si>
  <si>
    <t>100052908516W509</t>
  </si>
  <si>
    <t>OBE NAMPA 06-28-085-16W5</t>
  </si>
  <si>
    <t>28-085-16W5</t>
  </si>
  <si>
    <t>Not producing Dec 2025 — may be undergoing pump change now</t>
  </si>
  <si>
    <t>102052408218W502</t>
  </si>
  <si>
    <t>Dec</t>
  </si>
  <si>
    <t>100062408218W503</t>
  </si>
  <si>
    <t>100011608114W509</t>
  </si>
  <si>
    <t>104162408419W508</t>
  </si>
  <si>
    <t>100101508013W500</t>
  </si>
  <si>
    <t>OBE GIFT LAKE 15-22-080-13W5</t>
  </si>
  <si>
    <t>22-080-13W5</t>
  </si>
  <si>
    <t>100160808218W509</t>
  </si>
  <si>
    <t>Jun, Nov</t>
  </si>
  <si>
    <t>Apr, Aug</t>
  </si>
  <si>
    <t>100160508215W500</t>
  </si>
  <si>
    <t>104152408419W500</t>
  </si>
  <si>
    <t>102132208419W509</t>
  </si>
  <si>
    <t>103142408419W500</t>
  </si>
  <si>
    <t>103012207917W500</t>
  </si>
  <si>
    <t>100080508215W500</t>
  </si>
  <si>
    <t>100081408117W509</t>
  </si>
  <si>
    <t>OBE HVS 15-15-081-17W5</t>
  </si>
  <si>
    <t>15-081-17W5</t>
  </si>
  <si>
    <t>100162408419W500</t>
  </si>
  <si>
    <t>103052307917W500</t>
  </si>
  <si>
    <t>100121507815W500</t>
  </si>
  <si>
    <t>OBE PEAVINE 11-14-078-15W5</t>
  </si>
  <si>
    <t>14-078-15W5</t>
  </si>
  <si>
    <t>100152608117W508</t>
  </si>
  <si>
    <t>OBE HVS 10-27-081-17W5</t>
  </si>
  <si>
    <t>27-081-17W5</t>
  </si>
  <si>
    <t>100083108319W509</t>
  </si>
  <si>
    <t>OBE CADOTTE 09-36-083-19W5</t>
  </si>
  <si>
    <t>36-083-20W5</t>
  </si>
  <si>
    <t>102162108419W509</t>
  </si>
  <si>
    <t>100161208317W509</t>
  </si>
  <si>
    <t>100161808516W509</t>
  </si>
  <si>
    <t>OBE NAMPA 13-08-085-16W5</t>
  </si>
  <si>
    <t>08-085-16W5</t>
  </si>
  <si>
    <t>102020108318W508</t>
  </si>
  <si>
    <t>OBE HVS 15-01-083-18W5</t>
  </si>
  <si>
    <t>15-01-083-18W5</t>
  </si>
  <si>
    <t>100040108318W509</t>
  </si>
  <si>
    <t>100020108318W502</t>
  </si>
  <si>
    <t>100103108319W509</t>
  </si>
  <si>
    <t>100163008216W509</t>
  </si>
  <si>
    <t>100162608218W502</t>
  </si>
  <si>
    <t>100060307722W502</t>
  </si>
  <si>
    <t>N7 GIROUXVILLE 06-03/2 SWB</t>
  </si>
  <si>
    <t>03-077-22W5</t>
  </si>
  <si>
    <t>100093108319W509</t>
  </si>
  <si>
    <t>Pump Change / Downtime Flagging — Peace River 2025</t>
  </si>
  <si>
    <t>Monthly uptime % per well | RED = &lt;50% uptime | YELLOW = 50-80% | GREEN = &gt;80% | Blank = not producing that month</t>
  </si>
  <si>
    <t>Facility</t>
  </si>
  <si>
    <t>Total Downtime (days)</t>
  </si>
  <si>
    <t>Annual Uptime %</t>
  </si>
  <si>
    <t>Jan</t>
  </si>
  <si>
    <t>Flag</t>
  </si>
  <si>
    <t>DOWN</t>
  </si>
  <si>
    <t>FULL SHUTDOWN</t>
  </si>
  <si>
    <t>MAJOR DOWNTIME</t>
  </si>
  <si>
    <t>CHRONIC LOW UPTIME</t>
  </si>
  <si>
    <t>Obsidian Energy Ltd. — Peace River 2025 Production Summary</t>
  </si>
  <si>
    <t>Source: Alberta Energy Regulator Volumetric Data | All volumes in m³, oil rates in bbl/day</t>
  </si>
  <si>
    <t>Type</t>
  </si>
  <si>
    <t>2025 Oil (m³)</t>
  </si>
  <si>
    <t>2025 Oil (bbl)</t>
  </si>
  <si>
    <t>2025 Water (m³)</t>
  </si>
  <si>
    <t>2025 Gas (e3m³)</t>
  </si>
  <si>
    <t>Uptime %</t>
  </si>
  <si>
    <t>Months Active</t>
  </si>
  <si>
    <t>Avg bbl/cal day</t>
  </si>
  <si>
    <t>Avg bbl/prod day</t>
  </si>
  <si>
    <t>CRUDE BITUMEN MULTIWELL PRORATION BATTERY</t>
  </si>
  <si>
    <t>CRUDE BITUMEN MULTIWELL GROUP BATTERY</t>
  </si>
  <si>
    <t>CRUDE BITUMEN SINGLE-WELL BATTERY</t>
  </si>
  <si>
    <t>CRUDE OIL SINGLE-WELL BATTERY</t>
  </si>
  <si>
    <t>TOTAL</t>
  </si>
  <si>
    <t>Monthly Oil Production (m³)</t>
  </si>
  <si>
    <t>Total</t>
  </si>
  <si>
    <t>Monthly Average Oil Rate (bbl/producing day)</t>
  </si>
  <si>
    <t>Rate = (Oil m³ x 6.2898) / (Production Hours / 24)</t>
  </si>
  <si>
    <t>Monthly Production Hours by Well</t>
  </si>
  <si>
    <t>Jan
(max 744)</t>
  </si>
  <si>
    <t>Feb
(max 672)</t>
  </si>
  <si>
    <t>Mar
(max 744)</t>
  </si>
  <si>
    <t>Apr
(max 720)</t>
  </si>
  <si>
    <t>May
(max 744)</t>
  </si>
  <si>
    <t>Jun
(max 720)</t>
  </si>
  <si>
    <t>Jul
(max 744)</t>
  </si>
  <si>
    <t>Aug
(max 744)</t>
  </si>
  <si>
    <t>Sep
(max 720)</t>
  </si>
  <si>
    <t>Oct
(max 744)</t>
  </si>
  <si>
    <t>Nov
(max 720)</t>
  </si>
  <si>
    <t>Dec
(max 744)</t>
  </si>
  <si>
    <t>Top 50 Oil Producing Wells — Peace River 2025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</si>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</sst>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sz val="10"/>
      <color rgb="FF666666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CC0000"/>
      <name val="Arial"/>
      <charset val="1"/>
    </font>
    <font>
      <sz val="9"/>
      <name val="Arial"/>
      <charset val="1"/>
    </font>
    <font>
      <b/>
      <sz val="9"/>
      <color rgb="FFCC6600"/>
      <name val="Arial"/>
      <charset val="1"/>
    </font>
    <font>
      <b/>
      <sz val="9"/>
      <color rgb="FF006600"/>
      <name val="Arial"/>
      <charset val="1"/>
    </font>
    <font>
      <sz val="9"/>
      <color rgb="FF003366"/>
      <name val="Arial"/>
      <charset val="1"/>
    </font>
    <font>
      <i/>
      <sz val="9"/>
      <color rgb="FF666666"/>
      <name val="Arial"/>
      <charset val="1"/>
    </font>
    <font>
      <b/>
      <sz val="9"/>
      <color rgb="FFFF0000"/>
      <name val="Arial"/>
      <charset val="1"/>
    </font>
    <font>
      <b/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EB9C"/>
      </patternFill>
    </fill>
    <fill>
      <patternFill patternType="solid">
        <fgColor rgb="FFC6EF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FEB9C"/>
        <bgColor rgb="FFFFE0B2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3" fontId="6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5" fontId="6" fillId="3" borderId="1" xfId="0" applyNumberFormat="1" applyFont="1" applyFill="1" applyBorder="1"/>
    <xf numFmtId="9" fontId="6" fillId="3" borderId="1" xfId="0" applyNumberFormat="1" applyFont="1" applyFill="1" applyBorder="1"/>
    <xf numFmtId="0" fontId="11" fillId="3" borderId="1" xfId="0" applyFont="1" applyFill="1" applyBorder="1" applyAlignment="1">
      <alignment horizontal="center"/>
    </xf>
    <xf numFmtId="0" fontId="5" fillId="0" borderId="1" xfId="0" applyFont="1" applyBorder="1"/>
    <xf numFmtId="9" fontId="6" fillId="5" borderId="1" xfId="0" applyNumberFormat="1" applyFont="1" applyFill="1" applyBorder="1"/>
    <xf numFmtId="0" fontId="0" fillId="0" borderId="1" xfId="0" applyBorder="1"/>
    <xf numFmtId="9" fontId="6" fillId="8" borderId="1" xfId="0" applyNumberFormat="1" applyFont="1" applyFill="1" applyBorder="1"/>
    <xf numFmtId="165" fontId="6" fillId="8" borderId="1" xfId="0" applyNumberFormat="1" applyFont="1" applyFill="1" applyBorder="1"/>
    <xf numFmtId="165" fontId="6" fillId="5" borderId="1" xfId="0" applyNumberFormat="1" applyFont="1" applyFill="1" applyBorder="1"/>
    <xf numFmtId="165" fontId="6" fillId="0" borderId="1" xfId="0" applyNumberFormat="1" applyFont="1" applyBorder="1"/>
    <xf numFmtId="0" fontId="12" fillId="0" borderId="0" xfId="0" applyFont="1"/>
    <xf numFmtId="164" fontId="12" fillId="0" borderId="0" xfId="0" applyNumberFormat="1" applyFont="1"/>
    <xf numFmtId="3" fontId="12" fillId="0" borderId="0" xfId="0" applyNumberFormat="1" applyFont="1"/>
    <xf numFmtId="0" fontId="4" fillId="2" borderId="0" xfId="0" applyFont="1" applyFill="1" applyAlignment="1">
      <alignment horizontal="center"/>
    </xf>
    <xf numFmtId="164" fontId="12" fillId="0" borderId="1" xfId="0" applyNumberFormat="1" applyFont="1" applyBorder="1"/>
    <xf numFmtId="3" fontId="12" fillId="0" borderId="1" xfId="0" applyNumberFormat="1" applyFont="1" applyBorder="1"/>
    <xf numFmtId="0" fontId="6" fillId="9" borderId="0" xfId="0" applyFont="1" applyFill="1"/>
    <xf numFmtId="3" fontId="6" fillId="9" borderId="0" xfId="0" applyNumberFormat="1" applyFont="1" applyFill="1"/>
    <xf numFmtId="165" fontId="6" fillId="9" borderId="0" xfId="0" applyNumberFormat="1" applyFont="1" applyFill="1"/>
    <xf numFmtId="164" fontId="6" fillId="9" borderId="0" xfId="0" applyNumberFormat="1" applyFont="1" applyFill="1"/>
    <xf numFmtId="0" fontId="6" fillId="0" borderId="0" xfId="0" applyFont="1"/>
    <xf numFmtId="3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E0B2"/>
      <rgbColor rgb="FF3366FF"/>
      <rgbColor rgb="FF33CCCC"/>
      <rgbColor rgb="FF99CC00"/>
      <rgbColor rgb="FFFFCC00"/>
      <rgbColor rgb="FFFF9900"/>
      <rgbColor rgb="FFCC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0"/>
  <sheetViews>
    <sheetView tabSelected="1" zoomScaleNormal="100" workbookViewId="0">
      <pane xSplit="1" ySplit="5" topLeftCell="B206" activePane="bottomRight" state="frozen"/>
      <selection pane="topRight" activeCell="B1" sqref="B1"/>
      <selection pane="bottomLeft" activeCell="A6" sqref="A6"/>
      <selection pane="bottomRight" sqref="A1:K1"/>
    </sheetView>
  </sheetViews>
  <sheetFormatPr defaultColWidth="8.6640625" defaultRowHeight="15" customHeight="1" x14ac:dyDescent="0.3"/>
  <cols>
    <col min="1" max="1" width="16" customWidth="1"/>
    <col min="2" max="2" width="28" customWidth="1"/>
    <col min="3" max="3" width="34" customWidth="1"/>
    <col min="4" max="4" width="18" customWidth="1"/>
    <col min="5" max="5" width="16" customWidth="1"/>
    <col min="6" max="6" width="18.33203125" bestFit="1" customWidth="1"/>
    <col min="7" max="7" width="14" customWidth="1"/>
    <col min="8" max="8" width="11" customWidth="1"/>
    <col min="9" max="10" width="16" customWidth="1"/>
    <col min="11" max="11" width="55" customWidth="1"/>
  </cols>
  <sheetData>
    <row r="1" spans="1:11" ht="17.399999999999999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4.4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4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30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14.4" x14ac:dyDescent="0.3">
      <c r="A6" s="5" t="s">
        <v>14</v>
      </c>
      <c r="B6" s="6" t="s">
        <v>15</v>
      </c>
      <c r="C6" s="6" t="s">
        <v>16</v>
      </c>
      <c r="D6" s="6" t="s">
        <v>17</v>
      </c>
      <c r="E6" s="7">
        <v>12</v>
      </c>
      <c r="F6" s="8">
        <v>137.30000000000001</v>
      </c>
      <c r="G6" s="9">
        <v>75407</v>
      </c>
      <c r="H6" s="9">
        <v>8704</v>
      </c>
      <c r="I6" s="6"/>
      <c r="J6" s="6"/>
      <c r="K6" s="6" t="s">
        <v>18</v>
      </c>
    </row>
    <row r="7" spans="1:11" ht="14.4" x14ac:dyDescent="0.3">
      <c r="A7" s="5" t="s">
        <v>14</v>
      </c>
      <c r="B7" s="6" t="s">
        <v>19</v>
      </c>
      <c r="C7" s="6" t="s">
        <v>20</v>
      </c>
      <c r="D7" s="6" t="s">
        <v>21</v>
      </c>
      <c r="E7" s="7">
        <v>12</v>
      </c>
      <c r="F7" s="8">
        <v>118.6</v>
      </c>
      <c r="G7" s="9">
        <v>65335</v>
      </c>
      <c r="H7" s="9">
        <v>8753</v>
      </c>
      <c r="I7" s="6"/>
      <c r="J7" s="6"/>
      <c r="K7" s="6" t="s">
        <v>18</v>
      </c>
    </row>
    <row r="8" spans="1:11" ht="14.4" x14ac:dyDescent="0.3">
      <c r="A8" s="5" t="s">
        <v>14</v>
      </c>
      <c r="B8" s="6" t="s">
        <v>22</v>
      </c>
      <c r="C8" s="6" t="s">
        <v>23</v>
      </c>
      <c r="D8" s="6" t="s">
        <v>24</v>
      </c>
      <c r="E8" s="7">
        <v>12</v>
      </c>
      <c r="F8" s="8">
        <v>158.30000000000001</v>
      </c>
      <c r="G8" s="9">
        <v>65082</v>
      </c>
      <c r="H8" s="9">
        <v>8530</v>
      </c>
      <c r="I8" s="6"/>
      <c r="J8" s="6"/>
      <c r="K8" s="6" t="s">
        <v>18</v>
      </c>
    </row>
    <row r="9" spans="1:11" ht="14.4" x14ac:dyDescent="0.3">
      <c r="A9" s="5" t="s">
        <v>14</v>
      </c>
      <c r="B9" s="6" t="s">
        <v>25</v>
      </c>
      <c r="C9" s="6" t="s">
        <v>26</v>
      </c>
      <c r="D9" s="6" t="s">
        <v>27</v>
      </c>
      <c r="E9" s="7">
        <v>12</v>
      </c>
      <c r="F9" s="8">
        <v>113.8</v>
      </c>
      <c r="G9" s="9">
        <v>62143</v>
      </c>
      <c r="H9" s="9">
        <v>8553</v>
      </c>
      <c r="I9" s="6"/>
      <c r="J9" s="6"/>
      <c r="K9" s="6" t="s">
        <v>18</v>
      </c>
    </row>
    <row r="10" spans="1:11" ht="14.4" x14ac:dyDescent="0.3">
      <c r="A10" s="5" t="s">
        <v>14</v>
      </c>
      <c r="B10" s="6" t="s">
        <v>28</v>
      </c>
      <c r="C10" s="6" t="s">
        <v>29</v>
      </c>
      <c r="D10" s="6" t="s">
        <v>30</v>
      </c>
      <c r="E10" s="7">
        <v>12</v>
      </c>
      <c r="F10" s="8">
        <v>109.4</v>
      </c>
      <c r="G10" s="9">
        <v>60920</v>
      </c>
      <c r="H10" s="9">
        <v>8682</v>
      </c>
      <c r="I10" s="6"/>
      <c r="J10" s="6"/>
      <c r="K10" s="6" t="s">
        <v>18</v>
      </c>
    </row>
    <row r="11" spans="1:11" ht="14.4" x14ac:dyDescent="0.3">
      <c r="A11" s="5" t="s">
        <v>14</v>
      </c>
      <c r="B11" s="6" t="s">
        <v>31</v>
      </c>
      <c r="C11" s="6" t="s">
        <v>20</v>
      </c>
      <c r="D11" s="6" t="s">
        <v>21</v>
      </c>
      <c r="E11" s="7">
        <v>12</v>
      </c>
      <c r="F11" s="8">
        <v>89.9</v>
      </c>
      <c r="G11" s="9">
        <v>55442</v>
      </c>
      <c r="H11" s="9">
        <v>8706</v>
      </c>
      <c r="I11" s="6"/>
      <c r="J11" s="6"/>
      <c r="K11" s="6" t="s">
        <v>18</v>
      </c>
    </row>
    <row r="12" spans="1:11" ht="14.4" x14ac:dyDescent="0.3">
      <c r="A12" s="5" t="s">
        <v>14</v>
      </c>
      <c r="B12" s="6" t="s">
        <v>32</v>
      </c>
      <c r="C12" s="6" t="s">
        <v>33</v>
      </c>
      <c r="D12" s="6" t="s">
        <v>34</v>
      </c>
      <c r="E12" s="7">
        <v>12</v>
      </c>
      <c r="F12" s="8">
        <v>115</v>
      </c>
      <c r="G12" s="9">
        <v>52271</v>
      </c>
      <c r="H12" s="9">
        <v>8064</v>
      </c>
      <c r="I12" s="6"/>
      <c r="J12" s="6"/>
      <c r="K12" s="6" t="s">
        <v>18</v>
      </c>
    </row>
    <row r="13" spans="1:11" ht="14.4" x14ac:dyDescent="0.3">
      <c r="A13" s="5" t="s">
        <v>14</v>
      </c>
      <c r="B13" s="6" t="s">
        <v>35</v>
      </c>
      <c r="C13" s="6" t="s">
        <v>36</v>
      </c>
      <c r="D13" s="6" t="s">
        <v>21</v>
      </c>
      <c r="E13" s="7">
        <v>12</v>
      </c>
      <c r="F13" s="8">
        <v>60</v>
      </c>
      <c r="G13" s="9">
        <v>50927</v>
      </c>
      <c r="H13" s="9">
        <v>8500</v>
      </c>
      <c r="I13" s="6"/>
      <c r="J13" s="6"/>
      <c r="K13" s="6" t="s">
        <v>18</v>
      </c>
    </row>
    <row r="14" spans="1:11" ht="14.4" x14ac:dyDescent="0.3">
      <c r="A14" s="5" t="s">
        <v>14</v>
      </c>
      <c r="B14" s="6" t="s">
        <v>37</v>
      </c>
      <c r="C14" s="6" t="s">
        <v>38</v>
      </c>
      <c r="D14" s="6" t="s">
        <v>39</v>
      </c>
      <c r="E14" s="7">
        <v>12</v>
      </c>
      <c r="F14" s="8">
        <v>126.3</v>
      </c>
      <c r="G14" s="9">
        <v>49412</v>
      </c>
      <c r="H14" s="9">
        <v>8656</v>
      </c>
      <c r="I14" s="6"/>
      <c r="J14" s="6"/>
      <c r="K14" s="6" t="s">
        <v>18</v>
      </c>
    </row>
    <row r="15" spans="1:11" ht="14.4" x14ac:dyDescent="0.3">
      <c r="A15" s="5" t="s">
        <v>14</v>
      </c>
      <c r="B15" s="6" t="s">
        <v>40</v>
      </c>
      <c r="C15" s="6" t="s">
        <v>16</v>
      </c>
      <c r="D15" s="6" t="s">
        <v>17</v>
      </c>
      <c r="E15" s="7">
        <v>12</v>
      </c>
      <c r="F15" s="8">
        <v>64.400000000000006</v>
      </c>
      <c r="G15" s="9">
        <v>48127</v>
      </c>
      <c r="H15" s="9">
        <v>8685</v>
      </c>
      <c r="I15" s="6"/>
      <c r="J15" s="6"/>
      <c r="K15" s="6" t="s">
        <v>18</v>
      </c>
    </row>
    <row r="16" spans="1:11" ht="14.4" x14ac:dyDescent="0.3">
      <c r="A16" s="5" t="s">
        <v>14</v>
      </c>
      <c r="B16" s="6" t="s">
        <v>41</v>
      </c>
      <c r="C16" s="6" t="s">
        <v>16</v>
      </c>
      <c r="D16" s="6" t="s">
        <v>17</v>
      </c>
      <c r="E16" s="7">
        <v>12</v>
      </c>
      <c r="F16" s="8">
        <v>65.7</v>
      </c>
      <c r="G16" s="9">
        <v>45754</v>
      </c>
      <c r="H16" s="9">
        <v>8667</v>
      </c>
      <c r="I16" s="6"/>
      <c r="J16" s="6"/>
      <c r="K16" s="6" t="s">
        <v>18</v>
      </c>
    </row>
    <row r="17" spans="1:11" ht="14.4" x14ac:dyDescent="0.3">
      <c r="A17" s="5" t="s">
        <v>14</v>
      </c>
      <c r="B17" s="6" t="s">
        <v>42</v>
      </c>
      <c r="C17" s="6" t="s">
        <v>20</v>
      </c>
      <c r="D17" s="6" t="s">
        <v>21</v>
      </c>
      <c r="E17" s="7">
        <v>12</v>
      </c>
      <c r="F17" s="8">
        <v>88.4</v>
      </c>
      <c r="G17" s="9">
        <v>45287</v>
      </c>
      <c r="H17" s="9">
        <v>8736</v>
      </c>
      <c r="I17" s="6"/>
      <c r="J17" s="6"/>
      <c r="K17" s="6" t="s">
        <v>18</v>
      </c>
    </row>
    <row r="18" spans="1:11" ht="14.4" x14ac:dyDescent="0.3">
      <c r="A18" s="5" t="s">
        <v>14</v>
      </c>
      <c r="B18" s="6" t="s">
        <v>43</v>
      </c>
      <c r="C18" s="6" t="s">
        <v>44</v>
      </c>
      <c r="D18" s="6" t="s">
        <v>45</v>
      </c>
      <c r="E18" s="7">
        <v>12</v>
      </c>
      <c r="F18" s="8">
        <v>83</v>
      </c>
      <c r="G18" s="9">
        <v>44128</v>
      </c>
      <c r="H18" s="9">
        <v>8489</v>
      </c>
      <c r="I18" s="6"/>
      <c r="J18" s="6"/>
      <c r="K18" s="6" t="s">
        <v>18</v>
      </c>
    </row>
    <row r="19" spans="1:11" ht="14.4" x14ac:dyDescent="0.3">
      <c r="A19" s="5" t="s">
        <v>14</v>
      </c>
      <c r="B19" s="6" t="s">
        <v>46</v>
      </c>
      <c r="C19" s="6" t="s">
        <v>47</v>
      </c>
      <c r="D19" s="6" t="s">
        <v>48</v>
      </c>
      <c r="E19" s="7">
        <v>12</v>
      </c>
      <c r="F19" s="8">
        <v>121.8</v>
      </c>
      <c r="G19" s="9">
        <v>43879</v>
      </c>
      <c r="H19" s="9">
        <v>8399</v>
      </c>
      <c r="I19" s="6"/>
      <c r="J19" s="6"/>
      <c r="K19" s="6" t="s">
        <v>18</v>
      </c>
    </row>
    <row r="20" spans="1:11" ht="14.4" x14ac:dyDescent="0.3">
      <c r="A20" s="5" t="s">
        <v>14</v>
      </c>
      <c r="B20" s="6" t="s">
        <v>49</v>
      </c>
      <c r="C20" s="6" t="s">
        <v>33</v>
      </c>
      <c r="D20" s="6" t="s">
        <v>34</v>
      </c>
      <c r="E20" s="7">
        <v>12</v>
      </c>
      <c r="F20" s="8">
        <v>97.8</v>
      </c>
      <c r="G20" s="9">
        <v>39611</v>
      </c>
      <c r="H20" s="9">
        <v>8234</v>
      </c>
      <c r="I20" s="6"/>
      <c r="J20" s="6"/>
      <c r="K20" s="6" t="s">
        <v>18</v>
      </c>
    </row>
    <row r="21" spans="1:11" ht="14.4" x14ac:dyDescent="0.3">
      <c r="A21" s="5" t="s">
        <v>14</v>
      </c>
      <c r="B21" s="6" t="s">
        <v>50</v>
      </c>
      <c r="C21" s="6" t="s">
        <v>51</v>
      </c>
      <c r="D21" s="6" t="s">
        <v>52</v>
      </c>
      <c r="E21" s="7">
        <v>12</v>
      </c>
      <c r="F21" s="8">
        <v>87.4</v>
      </c>
      <c r="G21" s="9">
        <v>39114</v>
      </c>
      <c r="H21" s="9">
        <v>8756</v>
      </c>
      <c r="I21" s="6"/>
      <c r="J21" s="6"/>
      <c r="K21" s="6" t="s">
        <v>18</v>
      </c>
    </row>
    <row r="22" spans="1:11" ht="14.4" x14ac:dyDescent="0.3">
      <c r="A22" s="5" t="s">
        <v>14</v>
      </c>
      <c r="B22" s="6" t="s">
        <v>53</v>
      </c>
      <c r="C22" s="6" t="s">
        <v>33</v>
      </c>
      <c r="D22" s="6" t="s">
        <v>34</v>
      </c>
      <c r="E22" s="7">
        <v>12</v>
      </c>
      <c r="F22" s="8">
        <v>97.6</v>
      </c>
      <c r="G22" s="9">
        <v>37777</v>
      </c>
      <c r="H22" s="9">
        <v>7844</v>
      </c>
      <c r="I22" s="6"/>
      <c r="J22" s="6"/>
      <c r="K22" s="6" t="s">
        <v>18</v>
      </c>
    </row>
    <row r="23" spans="1:11" ht="14.4" x14ac:dyDescent="0.3">
      <c r="A23" s="5" t="s">
        <v>14</v>
      </c>
      <c r="B23" s="6" t="s">
        <v>54</v>
      </c>
      <c r="C23" s="6" t="s">
        <v>55</v>
      </c>
      <c r="D23" s="6" t="s">
        <v>56</v>
      </c>
      <c r="E23" s="7">
        <v>12</v>
      </c>
      <c r="F23" s="8">
        <v>62.9</v>
      </c>
      <c r="G23" s="9">
        <v>36809</v>
      </c>
      <c r="H23" s="9">
        <v>8190</v>
      </c>
      <c r="I23" s="6"/>
      <c r="J23" s="6"/>
      <c r="K23" s="6" t="s">
        <v>18</v>
      </c>
    </row>
    <row r="24" spans="1:11" ht="14.4" x14ac:dyDescent="0.3">
      <c r="A24" s="5" t="s">
        <v>14</v>
      </c>
      <c r="B24" s="6" t="s">
        <v>57</v>
      </c>
      <c r="C24" s="6" t="s">
        <v>36</v>
      </c>
      <c r="D24" s="6" t="s">
        <v>21</v>
      </c>
      <c r="E24" s="7">
        <v>12</v>
      </c>
      <c r="F24" s="8">
        <v>29.3</v>
      </c>
      <c r="G24" s="9">
        <v>36774</v>
      </c>
      <c r="H24" s="9">
        <v>8755</v>
      </c>
      <c r="I24" s="6"/>
      <c r="J24" s="6"/>
      <c r="K24" s="6" t="s">
        <v>18</v>
      </c>
    </row>
    <row r="25" spans="1:11" ht="14.4" x14ac:dyDescent="0.3">
      <c r="A25" s="5" t="s">
        <v>14</v>
      </c>
      <c r="B25" s="6" t="s">
        <v>58</v>
      </c>
      <c r="C25" s="6" t="s">
        <v>59</v>
      </c>
      <c r="D25" s="6" t="s">
        <v>60</v>
      </c>
      <c r="E25" s="7">
        <v>12</v>
      </c>
      <c r="F25" s="8">
        <v>43</v>
      </c>
      <c r="G25" s="9">
        <v>35880</v>
      </c>
      <c r="H25" s="9">
        <v>8742</v>
      </c>
      <c r="I25" s="6"/>
      <c r="J25" s="6"/>
      <c r="K25" s="6" t="s">
        <v>18</v>
      </c>
    </row>
    <row r="26" spans="1:11" ht="14.4" x14ac:dyDescent="0.3">
      <c r="A26" s="5" t="s">
        <v>14</v>
      </c>
      <c r="B26" s="6" t="s">
        <v>61</v>
      </c>
      <c r="C26" s="6" t="s">
        <v>62</v>
      </c>
      <c r="D26" s="6" t="s">
        <v>63</v>
      </c>
      <c r="E26" s="7">
        <v>12</v>
      </c>
      <c r="F26" s="8">
        <v>69.2</v>
      </c>
      <c r="G26" s="9">
        <v>35206</v>
      </c>
      <c r="H26" s="9">
        <v>8318</v>
      </c>
      <c r="I26" s="6"/>
      <c r="J26" s="6"/>
      <c r="K26" s="6" t="s">
        <v>18</v>
      </c>
    </row>
    <row r="27" spans="1:11" ht="14.4" x14ac:dyDescent="0.3">
      <c r="A27" s="5" t="s">
        <v>14</v>
      </c>
      <c r="B27" s="6" t="s">
        <v>64</v>
      </c>
      <c r="C27" s="6" t="s">
        <v>65</v>
      </c>
      <c r="D27" s="6" t="s">
        <v>39</v>
      </c>
      <c r="E27" s="7">
        <v>12</v>
      </c>
      <c r="F27" s="8">
        <v>77.2</v>
      </c>
      <c r="G27" s="9">
        <v>35090</v>
      </c>
      <c r="H27" s="9">
        <v>8736</v>
      </c>
      <c r="I27" s="6"/>
      <c r="J27" s="6"/>
      <c r="K27" s="6" t="s">
        <v>18</v>
      </c>
    </row>
    <row r="28" spans="1:11" ht="14.4" x14ac:dyDescent="0.3">
      <c r="A28" s="5" t="s">
        <v>14</v>
      </c>
      <c r="B28" s="6" t="s">
        <v>66</v>
      </c>
      <c r="C28" s="6" t="s">
        <v>62</v>
      </c>
      <c r="D28" s="6" t="s">
        <v>63</v>
      </c>
      <c r="E28" s="7">
        <v>12</v>
      </c>
      <c r="F28" s="8">
        <v>73.900000000000006</v>
      </c>
      <c r="G28" s="9">
        <v>34539</v>
      </c>
      <c r="H28" s="9">
        <v>8175</v>
      </c>
      <c r="I28" s="6"/>
      <c r="J28" s="6"/>
      <c r="K28" s="6" t="s">
        <v>18</v>
      </c>
    </row>
    <row r="29" spans="1:11" ht="14.4" x14ac:dyDescent="0.3">
      <c r="A29" s="5" t="s">
        <v>14</v>
      </c>
      <c r="B29" s="6" t="s">
        <v>67</v>
      </c>
      <c r="C29" s="6" t="s">
        <v>68</v>
      </c>
      <c r="D29" s="6" t="s">
        <v>69</v>
      </c>
      <c r="E29" s="7">
        <v>12</v>
      </c>
      <c r="F29" s="8">
        <v>75</v>
      </c>
      <c r="G29" s="9">
        <v>32619</v>
      </c>
      <c r="H29" s="9">
        <v>8715</v>
      </c>
      <c r="I29" s="6"/>
      <c r="J29" s="6"/>
      <c r="K29" s="6" t="s">
        <v>18</v>
      </c>
    </row>
    <row r="30" spans="1:11" ht="14.4" x14ac:dyDescent="0.3">
      <c r="A30" s="5" t="s">
        <v>14</v>
      </c>
      <c r="B30" s="6" t="s">
        <v>70</v>
      </c>
      <c r="C30" s="6" t="s">
        <v>71</v>
      </c>
      <c r="D30" s="6" t="s">
        <v>72</v>
      </c>
      <c r="E30" s="7">
        <v>12</v>
      </c>
      <c r="F30" s="8">
        <v>61.5</v>
      </c>
      <c r="G30" s="9">
        <v>32440</v>
      </c>
      <c r="H30" s="9">
        <v>8524</v>
      </c>
      <c r="I30" s="6"/>
      <c r="J30" s="6"/>
      <c r="K30" s="6" t="s">
        <v>18</v>
      </c>
    </row>
    <row r="31" spans="1:11" ht="14.4" x14ac:dyDescent="0.3">
      <c r="A31" s="5" t="s">
        <v>14</v>
      </c>
      <c r="B31" s="6" t="s">
        <v>73</v>
      </c>
      <c r="C31" s="6" t="s">
        <v>38</v>
      </c>
      <c r="D31" s="6" t="s">
        <v>39</v>
      </c>
      <c r="E31" s="7">
        <v>12</v>
      </c>
      <c r="F31" s="8">
        <v>74.8</v>
      </c>
      <c r="G31" s="9">
        <v>32297</v>
      </c>
      <c r="H31" s="9">
        <v>8721</v>
      </c>
      <c r="I31" s="6"/>
      <c r="J31" s="6"/>
      <c r="K31" s="6" t="s">
        <v>18</v>
      </c>
    </row>
    <row r="32" spans="1:11" ht="14.4" x14ac:dyDescent="0.3">
      <c r="A32" s="5" t="s">
        <v>14</v>
      </c>
      <c r="B32" s="6" t="s">
        <v>74</v>
      </c>
      <c r="C32" s="6" t="s">
        <v>16</v>
      </c>
      <c r="D32" s="6" t="s">
        <v>17</v>
      </c>
      <c r="E32" s="7">
        <v>12</v>
      </c>
      <c r="F32" s="8">
        <v>88.7</v>
      </c>
      <c r="G32" s="9">
        <v>32215</v>
      </c>
      <c r="H32" s="9">
        <v>8633</v>
      </c>
      <c r="I32" s="6"/>
      <c r="J32" s="6"/>
      <c r="K32" s="6" t="s">
        <v>18</v>
      </c>
    </row>
    <row r="33" spans="1:11" ht="14.4" x14ac:dyDescent="0.3">
      <c r="A33" s="5" t="s">
        <v>14</v>
      </c>
      <c r="B33" s="6" t="s">
        <v>75</v>
      </c>
      <c r="C33" s="6" t="s">
        <v>29</v>
      </c>
      <c r="D33" s="6" t="s">
        <v>30</v>
      </c>
      <c r="E33" s="7">
        <v>12</v>
      </c>
      <c r="F33" s="8">
        <v>59.6</v>
      </c>
      <c r="G33" s="9">
        <v>31925</v>
      </c>
      <c r="H33" s="9">
        <v>8746</v>
      </c>
      <c r="I33" s="6"/>
      <c r="J33" s="6"/>
      <c r="K33" s="6" t="s">
        <v>18</v>
      </c>
    </row>
    <row r="34" spans="1:11" ht="14.4" x14ac:dyDescent="0.3">
      <c r="A34" s="5" t="s">
        <v>14</v>
      </c>
      <c r="B34" s="6" t="s">
        <v>76</v>
      </c>
      <c r="C34" s="6" t="s">
        <v>77</v>
      </c>
      <c r="D34" s="6" t="s">
        <v>78</v>
      </c>
      <c r="E34" s="7">
        <v>12</v>
      </c>
      <c r="F34" s="8">
        <v>67.2</v>
      </c>
      <c r="G34" s="9">
        <v>31051</v>
      </c>
      <c r="H34" s="9">
        <v>8446</v>
      </c>
      <c r="I34" s="6"/>
      <c r="J34" s="6"/>
      <c r="K34" s="6" t="s">
        <v>18</v>
      </c>
    </row>
    <row r="35" spans="1:11" ht="14.4" x14ac:dyDescent="0.3">
      <c r="A35" s="5" t="s">
        <v>14</v>
      </c>
      <c r="B35" s="6" t="s">
        <v>79</v>
      </c>
      <c r="C35" s="6" t="s">
        <v>80</v>
      </c>
      <c r="D35" s="6" t="s">
        <v>81</v>
      </c>
      <c r="E35" s="7">
        <v>12</v>
      </c>
      <c r="F35" s="8">
        <v>51.8</v>
      </c>
      <c r="G35" s="9">
        <v>30763</v>
      </c>
      <c r="H35" s="9">
        <v>8703</v>
      </c>
      <c r="I35" s="6"/>
      <c r="J35" s="6"/>
      <c r="K35" s="6" t="s">
        <v>18</v>
      </c>
    </row>
    <row r="36" spans="1:11" ht="14.4" x14ac:dyDescent="0.3">
      <c r="A36" s="5" t="s">
        <v>14</v>
      </c>
      <c r="B36" s="6" t="s">
        <v>82</v>
      </c>
      <c r="C36" s="6" t="s">
        <v>33</v>
      </c>
      <c r="D36" s="6" t="s">
        <v>34</v>
      </c>
      <c r="E36" s="7">
        <v>12</v>
      </c>
      <c r="F36" s="8">
        <v>70.400000000000006</v>
      </c>
      <c r="G36" s="9">
        <v>30558</v>
      </c>
      <c r="H36" s="9">
        <v>7143</v>
      </c>
      <c r="I36" s="6"/>
      <c r="J36" s="6"/>
      <c r="K36" s="6" t="s">
        <v>18</v>
      </c>
    </row>
    <row r="37" spans="1:11" ht="14.4" x14ac:dyDescent="0.3">
      <c r="A37" s="5" t="s">
        <v>14</v>
      </c>
      <c r="B37" s="6" t="s">
        <v>83</v>
      </c>
      <c r="C37" s="6" t="s">
        <v>44</v>
      </c>
      <c r="D37" s="6" t="s">
        <v>45</v>
      </c>
      <c r="E37" s="7">
        <v>12</v>
      </c>
      <c r="F37" s="8">
        <v>58</v>
      </c>
      <c r="G37" s="9">
        <v>30487</v>
      </c>
      <c r="H37" s="9">
        <v>8750</v>
      </c>
      <c r="I37" s="6"/>
      <c r="J37" s="6"/>
      <c r="K37" s="6" t="s">
        <v>18</v>
      </c>
    </row>
    <row r="38" spans="1:11" ht="14.4" x14ac:dyDescent="0.3">
      <c r="A38" s="5" t="s">
        <v>14</v>
      </c>
      <c r="B38" s="6" t="s">
        <v>84</v>
      </c>
      <c r="C38" s="6" t="s">
        <v>85</v>
      </c>
      <c r="D38" s="6" t="s">
        <v>86</v>
      </c>
      <c r="E38" s="7">
        <v>12</v>
      </c>
      <c r="F38" s="8">
        <v>64.7</v>
      </c>
      <c r="G38" s="9">
        <v>29455</v>
      </c>
      <c r="H38" s="9">
        <v>8484</v>
      </c>
      <c r="I38" s="6"/>
      <c r="J38" s="6"/>
      <c r="K38" s="6" t="s">
        <v>18</v>
      </c>
    </row>
    <row r="39" spans="1:11" ht="14.4" x14ac:dyDescent="0.3">
      <c r="A39" s="5" t="s">
        <v>14</v>
      </c>
      <c r="B39" s="6" t="s">
        <v>87</v>
      </c>
      <c r="C39" s="6" t="s">
        <v>36</v>
      </c>
      <c r="D39" s="6" t="s">
        <v>21</v>
      </c>
      <c r="E39" s="7">
        <v>12</v>
      </c>
      <c r="F39" s="8">
        <v>64.400000000000006</v>
      </c>
      <c r="G39" s="9">
        <v>29304</v>
      </c>
      <c r="H39" s="9">
        <v>8733</v>
      </c>
      <c r="I39" s="6"/>
      <c r="J39" s="6"/>
      <c r="K39" s="6" t="s">
        <v>18</v>
      </c>
    </row>
    <row r="40" spans="1:11" ht="14.4" x14ac:dyDescent="0.3">
      <c r="A40" s="5" t="s">
        <v>14</v>
      </c>
      <c r="B40" s="6" t="s">
        <v>88</v>
      </c>
      <c r="C40" s="6" t="s">
        <v>89</v>
      </c>
      <c r="D40" s="6" t="s">
        <v>90</v>
      </c>
      <c r="E40" s="7">
        <v>12</v>
      </c>
      <c r="F40" s="8">
        <v>66.099999999999994</v>
      </c>
      <c r="G40" s="9">
        <v>29200</v>
      </c>
      <c r="H40" s="9">
        <v>8552</v>
      </c>
      <c r="I40" s="6"/>
      <c r="J40" s="6"/>
      <c r="K40" s="6" t="s">
        <v>18</v>
      </c>
    </row>
    <row r="41" spans="1:11" ht="14.4" x14ac:dyDescent="0.3">
      <c r="A41" s="5" t="s">
        <v>14</v>
      </c>
      <c r="B41" s="6" t="s">
        <v>91</v>
      </c>
      <c r="C41" s="6" t="s">
        <v>85</v>
      </c>
      <c r="D41" s="6" t="s">
        <v>86</v>
      </c>
      <c r="E41" s="7">
        <v>12</v>
      </c>
      <c r="F41" s="8">
        <v>62.8</v>
      </c>
      <c r="G41" s="9">
        <v>28622</v>
      </c>
      <c r="H41" s="9">
        <v>8569</v>
      </c>
      <c r="I41" s="6"/>
      <c r="J41" s="6"/>
      <c r="K41" s="6" t="s">
        <v>18</v>
      </c>
    </row>
    <row r="42" spans="1:11" ht="14.4" x14ac:dyDescent="0.3">
      <c r="A42" s="5" t="s">
        <v>14</v>
      </c>
      <c r="B42" s="6" t="s">
        <v>92</v>
      </c>
      <c r="C42" s="6" t="s">
        <v>51</v>
      </c>
      <c r="D42" s="6" t="s">
        <v>52</v>
      </c>
      <c r="E42" s="7">
        <v>12</v>
      </c>
      <c r="F42" s="8">
        <v>58.6</v>
      </c>
      <c r="G42" s="9">
        <v>28558</v>
      </c>
      <c r="H42" s="9">
        <v>8729</v>
      </c>
      <c r="I42" s="6"/>
      <c r="J42" s="6"/>
      <c r="K42" s="6" t="s">
        <v>18</v>
      </c>
    </row>
    <row r="43" spans="1:11" ht="14.4" x14ac:dyDescent="0.3">
      <c r="A43" s="5" t="s">
        <v>14</v>
      </c>
      <c r="B43" s="6" t="s">
        <v>93</v>
      </c>
      <c r="C43" s="6" t="s">
        <v>85</v>
      </c>
      <c r="D43" s="6" t="s">
        <v>86</v>
      </c>
      <c r="E43" s="7">
        <v>12</v>
      </c>
      <c r="F43" s="8">
        <v>54.4</v>
      </c>
      <c r="G43" s="9">
        <v>26781</v>
      </c>
      <c r="H43" s="9">
        <v>8452</v>
      </c>
      <c r="I43" s="6"/>
      <c r="J43" s="6"/>
      <c r="K43" s="6" t="s">
        <v>18</v>
      </c>
    </row>
    <row r="44" spans="1:11" ht="14.4" x14ac:dyDescent="0.3">
      <c r="A44" s="5" t="s">
        <v>14</v>
      </c>
      <c r="B44" s="6" t="s">
        <v>94</v>
      </c>
      <c r="C44" s="6" t="s">
        <v>95</v>
      </c>
      <c r="D44" s="6" t="s">
        <v>96</v>
      </c>
      <c r="E44" s="7">
        <v>12</v>
      </c>
      <c r="F44" s="8">
        <v>54.6</v>
      </c>
      <c r="G44" s="9">
        <v>24460</v>
      </c>
      <c r="H44" s="9">
        <v>8759</v>
      </c>
      <c r="I44" s="6"/>
      <c r="J44" s="6"/>
      <c r="K44" s="6" t="s">
        <v>18</v>
      </c>
    </row>
    <row r="45" spans="1:11" ht="14.4" x14ac:dyDescent="0.3">
      <c r="A45" s="5" t="s">
        <v>14</v>
      </c>
      <c r="B45" s="6" t="s">
        <v>97</v>
      </c>
      <c r="C45" s="6" t="s">
        <v>85</v>
      </c>
      <c r="D45" s="6" t="s">
        <v>86</v>
      </c>
      <c r="E45" s="7">
        <v>12</v>
      </c>
      <c r="F45" s="8">
        <v>57.2</v>
      </c>
      <c r="G45" s="9">
        <v>23600</v>
      </c>
      <c r="H45" s="9">
        <v>8607</v>
      </c>
      <c r="I45" s="6"/>
      <c r="J45" s="6"/>
      <c r="K45" s="6" t="s">
        <v>18</v>
      </c>
    </row>
    <row r="46" spans="1:11" ht="14.4" x14ac:dyDescent="0.3">
      <c r="A46" s="5" t="s">
        <v>14</v>
      </c>
      <c r="B46" s="6" t="s">
        <v>98</v>
      </c>
      <c r="C46" s="6" t="s">
        <v>89</v>
      </c>
      <c r="D46" s="6" t="s">
        <v>90</v>
      </c>
      <c r="E46" s="7">
        <v>12</v>
      </c>
      <c r="F46" s="8">
        <v>86.8</v>
      </c>
      <c r="G46" s="9">
        <v>23329</v>
      </c>
      <c r="H46" s="9">
        <v>8169</v>
      </c>
      <c r="I46" s="6"/>
      <c r="J46" s="6"/>
      <c r="K46" s="6" t="s">
        <v>18</v>
      </c>
    </row>
    <row r="47" spans="1:11" ht="14.4" x14ac:dyDescent="0.3">
      <c r="A47" s="5" t="s">
        <v>14</v>
      </c>
      <c r="B47" s="6" t="s">
        <v>99</v>
      </c>
      <c r="C47" s="6" t="s">
        <v>100</v>
      </c>
      <c r="D47" s="6" t="s">
        <v>101</v>
      </c>
      <c r="E47" s="7">
        <v>12</v>
      </c>
      <c r="F47" s="8">
        <v>57.3</v>
      </c>
      <c r="G47" s="9">
        <v>22494</v>
      </c>
      <c r="H47" s="9">
        <v>8726</v>
      </c>
      <c r="I47" s="6"/>
      <c r="J47" s="6"/>
      <c r="K47" s="6" t="s">
        <v>18</v>
      </c>
    </row>
    <row r="48" spans="1:11" ht="14.4" x14ac:dyDescent="0.3">
      <c r="A48" s="5" t="s">
        <v>14</v>
      </c>
      <c r="B48" s="6" t="s">
        <v>102</v>
      </c>
      <c r="C48" s="6" t="s">
        <v>85</v>
      </c>
      <c r="D48" s="6" t="s">
        <v>86</v>
      </c>
      <c r="E48" s="7">
        <v>12</v>
      </c>
      <c r="F48" s="8">
        <v>61.8</v>
      </c>
      <c r="G48" s="9">
        <v>22170</v>
      </c>
      <c r="H48" s="9">
        <v>8500</v>
      </c>
      <c r="I48" s="6"/>
      <c r="J48" s="6"/>
      <c r="K48" s="6" t="s">
        <v>18</v>
      </c>
    </row>
    <row r="49" spans="1:11" ht="14.4" x14ac:dyDescent="0.3">
      <c r="A49" s="5" t="s">
        <v>14</v>
      </c>
      <c r="B49" s="6" t="s">
        <v>103</v>
      </c>
      <c r="C49" s="6" t="s">
        <v>51</v>
      </c>
      <c r="D49" s="6" t="s">
        <v>52</v>
      </c>
      <c r="E49" s="7">
        <v>12</v>
      </c>
      <c r="F49" s="8">
        <v>51.4</v>
      </c>
      <c r="G49" s="9">
        <v>21688</v>
      </c>
      <c r="H49" s="9">
        <v>8757</v>
      </c>
      <c r="I49" s="6"/>
      <c r="J49" s="6"/>
      <c r="K49" s="6" t="s">
        <v>18</v>
      </c>
    </row>
    <row r="50" spans="1:11" ht="14.4" x14ac:dyDescent="0.3">
      <c r="A50" s="5" t="s">
        <v>14</v>
      </c>
      <c r="B50" s="6" t="s">
        <v>104</v>
      </c>
      <c r="C50" s="6" t="s">
        <v>29</v>
      </c>
      <c r="D50" s="6" t="s">
        <v>30</v>
      </c>
      <c r="E50" s="7">
        <v>12</v>
      </c>
      <c r="F50" s="8">
        <v>32.6</v>
      </c>
      <c r="G50" s="9">
        <v>21335</v>
      </c>
      <c r="H50" s="9">
        <v>8742</v>
      </c>
      <c r="I50" s="6"/>
      <c r="J50" s="6"/>
      <c r="K50" s="6" t="s">
        <v>18</v>
      </c>
    </row>
    <row r="51" spans="1:11" ht="14.4" x14ac:dyDescent="0.3">
      <c r="A51" s="5" t="s">
        <v>14</v>
      </c>
      <c r="B51" s="6" t="s">
        <v>105</v>
      </c>
      <c r="C51" s="6" t="s">
        <v>85</v>
      </c>
      <c r="D51" s="6" t="s">
        <v>86</v>
      </c>
      <c r="E51" s="7">
        <v>12</v>
      </c>
      <c r="F51" s="8">
        <v>39.5</v>
      </c>
      <c r="G51" s="9">
        <v>21160</v>
      </c>
      <c r="H51" s="9">
        <v>8178</v>
      </c>
      <c r="I51" s="6"/>
      <c r="J51" s="6"/>
      <c r="K51" s="6" t="s">
        <v>18</v>
      </c>
    </row>
    <row r="52" spans="1:11" ht="14.4" x14ac:dyDescent="0.3">
      <c r="A52" s="5" t="s">
        <v>14</v>
      </c>
      <c r="B52" s="6" t="s">
        <v>106</v>
      </c>
      <c r="C52" s="6" t="s">
        <v>38</v>
      </c>
      <c r="D52" s="6" t="s">
        <v>39</v>
      </c>
      <c r="E52" s="7">
        <v>12</v>
      </c>
      <c r="F52" s="8">
        <v>61.4</v>
      </c>
      <c r="G52" s="9">
        <v>20896</v>
      </c>
      <c r="H52" s="9">
        <v>8702</v>
      </c>
      <c r="I52" s="6"/>
      <c r="J52" s="6"/>
      <c r="K52" s="6" t="s">
        <v>18</v>
      </c>
    </row>
    <row r="53" spans="1:11" ht="14.4" x14ac:dyDescent="0.3">
      <c r="A53" s="5" t="s">
        <v>14</v>
      </c>
      <c r="B53" s="6" t="s">
        <v>107</v>
      </c>
      <c r="C53" s="6" t="s">
        <v>85</v>
      </c>
      <c r="D53" s="6" t="s">
        <v>86</v>
      </c>
      <c r="E53" s="7">
        <v>12</v>
      </c>
      <c r="F53" s="8">
        <v>67.099999999999994</v>
      </c>
      <c r="G53" s="9">
        <v>19995</v>
      </c>
      <c r="H53" s="9">
        <v>8620</v>
      </c>
      <c r="I53" s="6"/>
      <c r="J53" s="6"/>
      <c r="K53" s="6" t="s">
        <v>18</v>
      </c>
    </row>
    <row r="54" spans="1:11" ht="14.4" x14ac:dyDescent="0.3">
      <c r="A54" s="5" t="s">
        <v>14</v>
      </c>
      <c r="B54" s="6" t="s">
        <v>108</v>
      </c>
      <c r="C54" s="6" t="s">
        <v>109</v>
      </c>
      <c r="D54" s="6" t="s">
        <v>110</v>
      </c>
      <c r="E54" s="7">
        <v>12</v>
      </c>
      <c r="F54" s="8">
        <v>43.6</v>
      </c>
      <c r="G54" s="9">
        <v>19590</v>
      </c>
      <c r="H54" s="9">
        <v>8755</v>
      </c>
      <c r="I54" s="6"/>
      <c r="J54" s="6"/>
      <c r="K54" s="6" t="s">
        <v>18</v>
      </c>
    </row>
    <row r="55" spans="1:11" ht="14.4" x14ac:dyDescent="0.3">
      <c r="A55" s="5" t="s">
        <v>14</v>
      </c>
      <c r="B55" s="6" t="s">
        <v>111</v>
      </c>
      <c r="C55" s="6" t="s">
        <v>68</v>
      </c>
      <c r="D55" s="6" t="s">
        <v>69</v>
      </c>
      <c r="E55" s="7">
        <v>12</v>
      </c>
      <c r="F55" s="8">
        <v>51.1</v>
      </c>
      <c r="G55" s="9">
        <v>19134</v>
      </c>
      <c r="H55" s="9">
        <v>8750</v>
      </c>
      <c r="I55" s="6"/>
      <c r="J55" s="6"/>
      <c r="K55" s="6" t="s">
        <v>18</v>
      </c>
    </row>
    <row r="56" spans="1:11" ht="14.4" x14ac:dyDescent="0.3">
      <c r="A56" s="5" t="s">
        <v>14</v>
      </c>
      <c r="B56" s="6" t="s">
        <v>112</v>
      </c>
      <c r="C56" s="6" t="s">
        <v>85</v>
      </c>
      <c r="D56" s="6" t="s">
        <v>86</v>
      </c>
      <c r="E56" s="7">
        <v>12</v>
      </c>
      <c r="F56" s="8">
        <v>44.3</v>
      </c>
      <c r="G56" s="9">
        <v>18752</v>
      </c>
      <c r="H56" s="9">
        <v>8613</v>
      </c>
      <c r="I56" s="6"/>
      <c r="J56" s="6"/>
      <c r="K56" s="6" t="s">
        <v>18</v>
      </c>
    </row>
    <row r="57" spans="1:11" ht="14.4" x14ac:dyDescent="0.3">
      <c r="A57" s="5" t="s">
        <v>14</v>
      </c>
      <c r="B57" s="6" t="s">
        <v>113</v>
      </c>
      <c r="C57" s="6" t="s">
        <v>65</v>
      </c>
      <c r="D57" s="6" t="s">
        <v>39</v>
      </c>
      <c r="E57" s="7">
        <v>12</v>
      </c>
      <c r="F57" s="8">
        <v>26.1</v>
      </c>
      <c r="G57" s="9">
        <v>18682</v>
      </c>
      <c r="H57" s="9">
        <v>8654</v>
      </c>
      <c r="I57" s="6"/>
      <c r="J57" s="6"/>
      <c r="K57" s="6" t="s">
        <v>18</v>
      </c>
    </row>
    <row r="58" spans="1:11" ht="14.4" x14ac:dyDescent="0.3">
      <c r="A58" s="5" t="s">
        <v>14</v>
      </c>
      <c r="B58" s="6" t="s">
        <v>114</v>
      </c>
      <c r="C58" s="6" t="s">
        <v>115</v>
      </c>
      <c r="D58" s="6" t="s">
        <v>116</v>
      </c>
      <c r="E58" s="7">
        <v>12</v>
      </c>
      <c r="F58" s="8">
        <v>32.799999999999997</v>
      </c>
      <c r="G58" s="9">
        <v>18574</v>
      </c>
      <c r="H58" s="9">
        <v>8436</v>
      </c>
      <c r="I58" s="6"/>
      <c r="J58" s="6"/>
      <c r="K58" s="6" t="s">
        <v>18</v>
      </c>
    </row>
    <row r="59" spans="1:11" ht="14.4" x14ac:dyDescent="0.3">
      <c r="A59" s="5" t="s">
        <v>14</v>
      </c>
      <c r="B59" s="6" t="s">
        <v>117</v>
      </c>
      <c r="C59" s="6" t="s">
        <v>65</v>
      </c>
      <c r="D59" s="6" t="s">
        <v>39</v>
      </c>
      <c r="E59" s="7">
        <v>12</v>
      </c>
      <c r="F59" s="8">
        <v>43.5</v>
      </c>
      <c r="G59" s="9">
        <v>18417</v>
      </c>
      <c r="H59" s="9">
        <v>8746</v>
      </c>
      <c r="I59" s="6"/>
      <c r="J59" s="6"/>
      <c r="K59" s="6" t="s">
        <v>18</v>
      </c>
    </row>
    <row r="60" spans="1:11" ht="14.4" x14ac:dyDescent="0.3">
      <c r="A60" s="5" t="s">
        <v>14</v>
      </c>
      <c r="B60" s="6" t="s">
        <v>118</v>
      </c>
      <c r="C60" s="6" t="s">
        <v>100</v>
      </c>
      <c r="D60" s="6" t="s">
        <v>101</v>
      </c>
      <c r="E60" s="7">
        <v>12</v>
      </c>
      <c r="F60" s="8">
        <v>43.3</v>
      </c>
      <c r="G60" s="9">
        <v>18219</v>
      </c>
      <c r="H60" s="9">
        <v>8646</v>
      </c>
      <c r="I60" s="6"/>
      <c r="J60" s="6"/>
      <c r="K60" s="6" t="s">
        <v>18</v>
      </c>
    </row>
    <row r="61" spans="1:11" ht="14.4" x14ac:dyDescent="0.3">
      <c r="A61" s="5" t="s">
        <v>14</v>
      </c>
      <c r="B61" s="6" t="s">
        <v>119</v>
      </c>
      <c r="C61" s="6" t="s">
        <v>120</v>
      </c>
      <c r="D61" s="6" t="s">
        <v>121</v>
      </c>
      <c r="E61" s="7">
        <v>12</v>
      </c>
      <c r="F61" s="8">
        <v>39.9</v>
      </c>
      <c r="G61" s="9">
        <v>18019</v>
      </c>
      <c r="H61" s="9">
        <v>8726</v>
      </c>
      <c r="I61" s="6"/>
      <c r="J61" s="6"/>
      <c r="K61" s="6" t="s">
        <v>18</v>
      </c>
    </row>
    <row r="62" spans="1:11" ht="14.4" x14ac:dyDescent="0.3">
      <c r="A62" s="5" t="s">
        <v>14</v>
      </c>
      <c r="B62" s="6" t="s">
        <v>122</v>
      </c>
      <c r="C62" s="6" t="s">
        <v>123</v>
      </c>
      <c r="D62" s="6" t="s">
        <v>124</v>
      </c>
      <c r="E62" s="7">
        <v>12</v>
      </c>
      <c r="F62" s="8">
        <v>28.8</v>
      </c>
      <c r="G62" s="9">
        <v>16921</v>
      </c>
      <c r="H62" s="9">
        <v>8617</v>
      </c>
      <c r="I62" s="6"/>
      <c r="J62" s="6"/>
      <c r="K62" s="6" t="s">
        <v>18</v>
      </c>
    </row>
    <row r="63" spans="1:11" ht="14.4" x14ac:dyDescent="0.3">
      <c r="A63" s="5" t="s">
        <v>14</v>
      </c>
      <c r="B63" s="6" t="s">
        <v>125</v>
      </c>
      <c r="C63" s="6" t="s">
        <v>77</v>
      </c>
      <c r="D63" s="6" t="s">
        <v>78</v>
      </c>
      <c r="E63" s="7">
        <v>12</v>
      </c>
      <c r="F63" s="8">
        <v>21.3</v>
      </c>
      <c r="G63" s="9">
        <v>16733</v>
      </c>
      <c r="H63" s="9">
        <v>8329</v>
      </c>
      <c r="I63" s="6"/>
      <c r="J63" s="6"/>
      <c r="K63" s="6" t="s">
        <v>18</v>
      </c>
    </row>
    <row r="64" spans="1:11" ht="14.4" x14ac:dyDescent="0.3">
      <c r="A64" s="5" t="s">
        <v>14</v>
      </c>
      <c r="B64" s="6" t="s">
        <v>126</v>
      </c>
      <c r="C64" s="6" t="s">
        <v>89</v>
      </c>
      <c r="D64" s="6" t="s">
        <v>90</v>
      </c>
      <c r="E64" s="7">
        <v>12</v>
      </c>
      <c r="F64" s="8">
        <v>41.9</v>
      </c>
      <c r="G64" s="9">
        <v>16711</v>
      </c>
      <c r="H64" s="9">
        <v>8118</v>
      </c>
      <c r="I64" s="6"/>
      <c r="J64" s="6"/>
      <c r="K64" s="6" t="s">
        <v>18</v>
      </c>
    </row>
    <row r="65" spans="1:11" ht="14.4" x14ac:dyDescent="0.3">
      <c r="A65" s="5" t="s">
        <v>14</v>
      </c>
      <c r="B65" s="6" t="s">
        <v>127</v>
      </c>
      <c r="C65" s="6" t="s">
        <v>109</v>
      </c>
      <c r="D65" s="6" t="s">
        <v>110</v>
      </c>
      <c r="E65" s="7">
        <v>12</v>
      </c>
      <c r="F65" s="8">
        <v>19</v>
      </c>
      <c r="G65" s="9">
        <v>16581</v>
      </c>
      <c r="H65" s="9">
        <v>8736</v>
      </c>
      <c r="I65" s="6"/>
      <c r="J65" s="6"/>
      <c r="K65" s="6" t="s">
        <v>18</v>
      </c>
    </row>
    <row r="66" spans="1:11" ht="14.4" x14ac:dyDescent="0.3">
      <c r="A66" s="5" t="s">
        <v>14</v>
      </c>
      <c r="B66" s="6" t="s">
        <v>128</v>
      </c>
      <c r="C66" s="6" t="s">
        <v>65</v>
      </c>
      <c r="D66" s="6" t="s">
        <v>39</v>
      </c>
      <c r="E66" s="7">
        <v>12</v>
      </c>
      <c r="F66" s="8">
        <v>58</v>
      </c>
      <c r="G66" s="9">
        <v>15735</v>
      </c>
      <c r="H66" s="9">
        <v>8756</v>
      </c>
      <c r="I66" s="6"/>
      <c r="J66" s="6"/>
      <c r="K66" s="6" t="s">
        <v>18</v>
      </c>
    </row>
    <row r="67" spans="1:11" ht="14.4" x14ac:dyDescent="0.3">
      <c r="A67" s="5" t="s">
        <v>14</v>
      </c>
      <c r="B67" s="6" t="s">
        <v>129</v>
      </c>
      <c r="C67" s="6" t="s">
        <v>59</v>
      </c>
      <c r="D67" s="6" t="s">
        <v>60</v>
      </c>
      <c r="E67" s="7">
        <v>12</v>
      </c>
      <c r="F67" s="8">
        <v>28.3</v>
      </c>
      <c r="G67" s="9">
        <v>15206</v>
      </c>
      <c r="H67" s="9">
        <v>8497</v>
      </c>
      <c r="I67" s="6"/>
      <c r="J67" s="6"/>
      <c r="K67" s="6" t="s">
        <v>18</v>
      </c>
    </row>
    <row r="68" spans="1:11" ht="14.4" x14ac:dyDescent="0.3">
      <c r="A68" s="5" t="s">
        <v>14</v>
      </c>
      <c r="B68" s="6" t="s">
        <v>130</v>
      </c>
      <c r="C68" s="6" t="s">
        <v>85</v>
      </c>
      <c r="D68" s="6" t="s">
        <v>86</v>
      </c>
      <c r="E68" s="7">
        <v>12</v>
      </c>
      <c r="F68" s="8">
        <v>63.6</v>
      </c>
      <c r="G68" s="9">
        <v>15057</v>
      </c>
      <c r="H68" s="9">
        <v>8265</v>
      </c>
      <c r="I68" s="6"/>
      <c r="J68" s="6"/>
      <c r="K68" s="6" t="s">
        <v>18</v>
      </c>
    </row>
    <row r="69" spans="1:11" ht="14.4" x14ac:dyDescent="0.3">
      <c r="A69" s="5" t="s">
        <v>14</v>
      </c>
      <c r="B69" s="6" t="s">
        <v>131</v>
      </c>
      <c r="C69" s="6" t="s">
        <v>132</v>
      </c>
      <c r="D69" s="6" t="s">
        <v>133</v>
      </c>
      <c r="E69" s="7">
        <v>12</v>
      </c>
      <c r="F69" s="8">
        <v>31.7</v>
      </c>
      <c r="G69" s="9">
        <v>14558</v>
      </c>
      <c r="H69" s="9">
        <v>8665</v>
      </c>
      <c r="I69" s="6"/>
      <c r="J69" s="6"/>
      <c r="K69" s="6" t="s">
        <v>18</v>
      </c>
    </row>
    <row r="70" spans="1:11" ht="14.4" x14ac:dyDescent="0.3">
      <c r="A70" s="5" t="s">
        <v>14</v>
      </c>
      <c r="B70" s="6" t="s">
        <v>134</v>
      </c>
      <c r="C70" s="6" t="s">
        <v>135</v>
      </c>
      <c r="D70" s="6" t="s">
        <v>136</v>
      </c>
      <c r="E70" s="7">
        <v>12</v>
      </c>
      <c r="F70" s="8">
        <v>35.4</v>
      </c>
      <c r="G70" s="9">
        <v>14423</v>
      </c>
      <c r="H70" s="9">
        <v>8689</v>
      </c>
      <c r="I70" s="6"/>
      <c r="J70" s="6"/>
      <c r="K70" s="6" t="s">
        <v>18</v>
      </c>
    </row>
    <row r="71" spans="1:11" ht="14.4" x14ac:dyDescent="0.3">
      <c r="A71" s="5" t="s">
        <v>14</v>
      </c>
      <c r="B71" s="6" t="s">
        <v>137</v>
      </c>
      <c r="C71" s="6" t="s">
        <v>138</v>
      </c>
      <c r="D71" s="6" t="s">
        <v>139</v>
      </c>
      <c r="E71" s="7">
        <v>12</v>
      </c>
      <c r="F71" s="8">
        <v>30.7</v>
      </c>
      <c r="G71" s="9">
        <v>14237</v>
      </c>
      <c r="H71" s="9">
        <v>8745</v>
      </c>
      <c r="I71" s="6"/>
      <c r="J71" s="6"/>
      <c r="K71" s="6" t="s">
        <v>18</v>
      </c>
    </row>
    <row r="72" spans="1:11" ht="14.4" x14ac:dyDescent="0.3">
      <c r="A72" s="5" t="s">
        <v>14</v>
      </c>
      <c r="B72" s="6" t="s">
        <v>140</v>
      </c>
      <c r="C72" s="6" t="s">
        <v>109</v>
      </c>
      <c r="D72" s="6" t="s">
        <v>110</v>
      </c>
      <c r="E72" s="7">
        <v>12</v>
      </c>
      <c r="F72" s="8">
        <v>33.700000000000003</v>
      </c>
      <c r="G72" s="9">
        <v>13909</v>
      </c>
      <c r="H72" s="9">
        <v>8760</v>
      </c>
      <c r="I72" s="6"/>
      <c r="J72" s="6"/>
      <c r="K72" s="6" t="s">
        <v>18</v>
      </c>
    </row>
    <row r="73" spans="1:11" ht="14.4" x14ac:dyDescent="0.3">
      <c r="A73" s="5" t="s">
        <v>14</v>
      </c>
      <c r="B73" s="6" t="s">
        <v>141</v>
      </c>
      <c r="C73" s="6" t="s">
        <v>115</v>
      </c>
      <c r="D73" s="6" t="s">
        <v>116</v>
      </c>
      <c r="E73" s="7">
        <v>12</v>
      </c>
      <c r="F73" s="8">
        <v>51.5</v>
      </c>
      <c r="G73" s="9">
        <v>13536</v>
      </c>
      <c r="H73" s="9">
        <v>8623</v>
      </c>
      <c r="I73" s="6"/>
      <c r="J73" s="6"/>
      <c r="K73" s="6" t="s">
        <v>18</v>
      </c>
    </row>
    <row r="74" spans="1:11" ht="14.4" x14ac:dyDescent="0.3">
      <c r="A74" s="5" t="s">
        <v>14</v>
      </c>
      <c r="B74" s="6" t="s">
        <v>142</v>
      </c>
      <c r="C74" s="6" t="s">
        <v>68</v>
      </c>
      <c r="D74" s="6" t="s">
        <v>69</v>
      </c>
      <c r="E74" s="7">
        <v>12</v>
      </c>
      <c r="F74" s="8">
        <v>34.9</v>
      </c>
      <c r="G74" s="9">
        <v>12980</v>
      </c>
      <c r="H74" s="9">
        <v>8709</v>
      </c>
      <c r="I74" s="6"/>
      <c r="J74" s="6"/>
      <c r="K74" s="6" t="s">
        <v>18</v>
      </c>
    </row>
    <row r="75" spans="1:11" ht="14.4" x14ac:dyDescent="0.3">
      <c r="A75" s="5" t="s">
        <v>14</v>
      </c>
      <c r="B75" s="6" t="s">
        <v>143</v>
      </c>
      <c r="C75" s="6" t="s">
        <v>120</v>
      </c>
      <c r="D75" s="6" t="s">
        <v>121</v>
      </c>
      <c r="E75" s="7">
        <v>12</v>
      </c>
      <c r="F75" s="8">
        <v>37.5</v>
      </c>
      <c r="G75" s="9">
        <v>12846</v>
      </c>
      <c r="H75" s="9">
        <v>8468</v>
      </c>
      <c r="I75" s="6"/>
      <c r="J75" s="6"/>
      <c r="K75" s="6" t="s">
        <v>18</v>
      </c>
    </row>
    <row r="76" spans="1:11" ht="14.4" x14ac:dyDescent="0.3">
      <c r="A76" s="5" t="s">
        <v>14</v>
      </c>
      <c r="B76" s="6" t="s">
        <v>144</v>
      </c>
      <c r="C76" s="6" t="s">
        <v>55</v>
      </c>
      <c r="D76" s="6" t="s">
        <v>56</v>
      </c>
      <c r="E76" s="7">
        <v>12</v>
      </c>
      <c r="F76" s="8">
        <v>54.7</v>
      </c>
      <c r="G76" s="9">
        <v>12763</v>
      </c>
      <c r="H76" s="9">
        <v>8136</v>
      </c>
      <c r="I76" s="6"/>
      <c r="J76" s="6"/>
      <c r="K76" s="6" t="s">
        <v>18</v>
      </c>
    </row>
    <row r="77" spans="1:11" ht="14.4" x14ac:dyDescent="0.3">
      <c r="A77" s="5" t="s">
        <v>14</v>
      </c>
      <c r="B77" s="6" t="s">
        <v>145</v>
      </c>
      <c r="C77" s="6" t="s">
        <v>146</v>
      </c>
      <c r="D77" s="6" t="s">
        <v>147</v>
      </c>
      <c r="E77" s="7">
        <v>12</v>
      </c>
      <c r="F77" s="8">
        <v>44.3</v>
      </c>
      <c r="G77" s="9">
        <v>12712</v>
      </c>
      <c r="H77" s="9">
        <v>8741</v>
      </c>
      <c r="I77" s="6"/>
      <c r="J77" s="6"/>
      <c r="K77" s="6" t="s">
        <v>18</v>
      </c>
    </row>
    <row r="78" spans="1:11" ht="14.4" x14ac:dyDescent="0.3">
      <c r="A78" s="5" t="s">
        <v>14</v>
      </c>
      <c r="B78" s="6" t="s">
        <v>148</v>
      </c>
      <c r="C78" s="6" t="s">
        <v>85</v>
      </c>
      <c r="D78" s="6" t="s">
        <v>86</v>
      </c>
      <c r="E78" s="7">
        <v>12</v>
      </c>
      <c r="F78" s="8">
        <v>37.200000000000003</v>
      </c>
      <c r="G78" s="9">
        <v>12693</v>
      </c>
      <c r="H78" s="9">
        <v>8703</v>
      </c>
      <c r="I78" s="6"/>
      <c r="J78" s="6"/>
      <c r="K78" s="6" t="s">
        <v>18</v>
      </c>
    </row>
    <row r="79" spans="1:11" ht="14.4" x14ac:dyDescent="0.3">
      <c r="A79" s="5" t="s">
        <v>14</v>
      </c>
      <c r="B79" s="6" t="s">
        <v>149</v>
      </c>
      <c r="C79" s="6" t="s">
        <v>150</v>
      </c>
      <c r="D79" s="6" t="s">
        <v>151</v>
      </c>
      <c r="E79" s="7">
        <v>12</v>
      </c>
      <c r="F79" s="8">
        <v>32.5</v>
      </c>
      <c r="G79" s="9">
        <v>12236</v>
      </c>
      <c r="H79" s="9">
        <v>8492</v>
      </c>
      <c r="I79" s="6"/>
      <c r="J79" s="6"/>
      <c r="K79" s="6" t="s">
        <v>18</v>
      </c>
    </row>
    <row r="80" spans="1:11" ht="14.4" x14ac:dyDescent="0.3">
      <c r="A80" s="5" t="s">
        <v>14</v>
      </c>
      <c r="B80" s="6" t="s">
        <v>152</v>
      </c>
      <c r="C80" s="6" t="s">
        <v>153</v>
      </c>
      <c r="D80" s="6" t="s">
        <v>154</v>
      </c>
      <c r="E80" s="7">
        <v>12</v>
      </c>
      <c r="F80" s="8">
        <v>18.2</v>
      </c>
      <c r="G80" s="9">
        <v>12197</v>
      </c>
      <c r="H80" s="9">
        <v>7880</v>
      </c>
      <c r="I80" s="6"/>
      <c r="J80" s="6"/>
      <c r="K80" s="6" t="s">
        <v>18</v>
      </c>
    </row>
    <row r="81" spans="1:11" ht="14.4" x14ac:dyDescent="0.3">
      <c r="A81" s="5" t="s">
        <v>14</v>
      </c>
      <c r="B81" s="6" t="s">
        <v>155</v>
      </c>
      <c r="C81" s="6" t="s">
        <v>156</v>
      </c>
      <c r="D81" s="6" t="s">
        <v>157</v>
      </c>
      <c r="E81" s="7">
        <v>12</v>
      </c>
      <c r="F81" s="8">
        <v>30.6</v>
      </c>
      <c r="G81" s="9">
        <v>12190</v>
      </c>
      <c r="H81" s="9">
        <v>8760</v>
      </c>
      <c r="I81" s="6"/>
      <c r="J81" s="6"/>
      <c r="K81" s="6" t="s">
        <v>18</v>
      </c>
    </row>
    <row r="82" spans="1:11" ht="14.4" x14ac:dyDescent="0.3">
      <c r="A82" s="5" t="s">
        <v>14</v>
      </c>
      <c r="B82" s="6" t="s">
        <v>158</v>
      </c>
      <c r="C82" s="6" t="s">
        <v>159</v>
      </c>
      <c r="D82" s="6" t="s">
        <v>160</v>
      </c>
      <c r="E82" s="7">
        <v>12</v>
      </c>
      <c r="F82" s="8">
        <v>33.799999999999997</v>
      </c>
      <c r="G82" s="9">
        <v>12066</v>
      </c>
      <c r="H82" s="9">
        <v>8572</v>
      </c>
      <c r="I82" s="6"/>
      <c r="J82" s="6"/>
      <c r="K82" s="6" t="s">
        <v>18</v>
      </c>
    </row>
    <row r="83" spans="1:11" ht="14.4" x14ac:dyDescent="0.3">
      <c r="A83" s="5" t="s">
        <v>14</v>
      </c>
      <c r="B83" s="6" t="s">
        <v>161</v>
      </c>
      <c r="C83" s="6" t="s">
        <v>120</v>
      </c>
      <c r="D83" s="6" t="s">
        <v>121</v>
      </c>
      <c r="E83" s="7">
        <v>12</v>
      </c>
      <c r="F83" s="8">
        <v>21.8</v>
      </c>
      <c r="G83" s="9">
        <v>11705</v>
      </c>
      <c r="H83" s="9">
        <v>8664</v>
      </c>
      <c r="I83" s="6"/>
      <c r="J83" s="6"/>
      <c r="K83" s="6" t="s">
        <v>18</v>
      </c>
    </row>
    <row r="84" spans="1:11" ht="14.4" x14ac:dyDescent="0.3">
      <c r="A84" s="5" t="s">
        <v>14</v>
      </c>
      <c r="B84" s="6" t="s">
        <v>162</v>
      </c>
      <c r="C84" s="6" t="s">
        <v>163</v>
      </c>
      <c r="D84" s="6" t="s">
        <v>164</v>
      </c>
      <c r="E84" s="7">
        <v>12</v>
      </c>
      <c r="F84" s="8">
        <v>28.8</v>
      </c>
      <c r="G84" s="9">
        <v>11674</v>
      </c>
      <c r="H84" s="9">
        <v>8672</v>
      </c>
      <c r="I84" s="6"/>
      <c r="J84" s="6"/>
      <c r="K84" s="6" t="s">
        <v>18</v>
      </c>
    </row>
    <row r="85" spans="1:11" ht="14.4" x14ac:dyDescent="0.3">
      <c r="A85" s="5" t="s">
        <v>14</v>
      </c>
      <c r="B85" s="6" t="s">
        <v>165</v>
      </c>
      <c r="C85" s="6" t="s">
        <v>89</v>
      </c>
      <c r="D85" s="6" t="s">
        <v>90</v>
      </c>
      <c r="E85" s="7">
        <v>12</v>
      </c>
      <c r="F85" s="8">
        <v>29.6</v>
      </c>
      <c r="G85" s="9">
        <v>11574</v>
      </c>
      <c r="H85" s="9">
        <v>7867</v>
      </c>
      <c r="I85" s="6"/>
      <c r="J85" s="6"/>
      <c r="K85" s="6" t="s">
        <v>18</v>
      </c>
    </row>
    <row r="86" spans="1:11" ht="14.4" x14ac:dyDescent="0.3">
      <c r="A86" s="5" t="s">
        <v>14</v>
      </c>
      <c r="B86" s="6" t="s">
        <v>166</v>
      </c>
      <c r="C86" s="6" t="s">
        <v>153</v>
      </c>
      <c r="D86" s="6" t="s">
        <v>154</v>
      </c>
      <c r="E86" s="7">
        <v>12</v>
      </c>
      <c r="F86" s="8">
        <v>17.399999999999999</v>
      </c>
      <c r="G86" s="9">
        <v>11341</v>
      </c>
      <c r="H86" s="9">
        <v>7525</v>
      </c>
      <c r="I86" s="6"/>
      <c r="J86" s="6"/>
      <c r="K86" s="6" t="s">
        <v>18</v>
      </c>
    </row>
    <row r="87" spans="1:11" ht="14.4" x14ac:dyDescent="0.3">
      <c r="A87" s="5" t="s">
        <v>14</v>
      </c>
      <c r="B87" s="6" t="s">
        <v>167</v>
      </c>
      <c r="C87" s="6" t="s">
        <v>89</v>
      </c>
      <c r="D87" s="6" t="s">
        <v>90</v>
      </c>
      <c r="E87" s="7">
        <v>12</v>
      </c>
      <c r="F87" s="8">
        <v>25.2</v>
      </c>
      <c r="G87" s="9">
        <v>11022</v>
      </c>
      <c r="H87" s="9">
        <v>8731</v>
      </c>
      <c r="I87" s="6"/>
      <c r="J87" s="6"/>
      <c r="K87" s="6" t="s">
        <v>18</v>
      </c>
    </row>
    <row r="88" spans="1:11" ht="14.4" x14ac:dyDescent="0.3">
      <c r="A88" s="5" t="s">
        <v>14</v>
      </c>
      <c r="B88" s="6" t="s">
        <v>168</v>
      </c>
      <c r="C88" s="6" t="s">
        <v>169</v>
      </c>
      <c r="D88" s="6" t="s">
        <v>170</v>
      </c>
      <c r="E88" s="7">
        <v>12</v>
      </c>
      <c r="F88" s="8">
        <v>27.1</v>
      </c>
      <c r="G88" s="9">
        <v>10790</v>
      </c>
      <c r="H88" s="9">
        <v>8331</v>
      </c>
      <c r="I88" s="6"/>
      <c r="J88" s="6"/>
      <c r="K88" s="6" t="s">
        <v>18</v>
      </c>
    </row>
    <row r="89" spans="1:11" ht="14.4" x14ac:dyDescent="0.3">
      <c r="A89" s="5" t="s">
        <v>14</v>
      </c>
      <c r="B89" s="6" t="s">
        <v>171</v>
      </c>
      <c r="C89" s="6" t="s">
        <v>89</v>
      </c>
      <c r="D89" s="6" t="s">
        <v>90</v>
      </c>
      <c r="E89" s="7">
        <v>12</v>
      </c>
      <c r="F89" s="8">
        <v>41.9</v>
      </c>
      <c r="G89" s="9">
        <v>10778</v>
      </c>
      <c r="H89" s="9">
        <v>7891</v>
      </c>
      <c r="I89" s="6"/>
      <c r="J89" s="6"/>
      <c r="K89" s="6" t="s">
        <v>18</v>
      </c>
    </row>
    <row r="90" spans="1:11" ht="14.4" x14ac:dyDescent="0.3">
      <c r="A90" s="5" t="s">
        <v>14</v>
      </c>
      <c r="B90" s="6" t="s">
        <v>172</v>
      </c>
      <c r="C90" s="6" t="s">
        <v>173</v>
      </c>
      <c r="D90" s="6" t="s">
        <v>174</v>
      </c>
      <c r="E90" s="7">
        <v>12</v>
      </c>
      <c r="F90" s="8">
        <v>12.1</v>
      </c>
      <c r="G90" s="9">
        <v>10697</v>
      </c>
      <c r="H90" s="9">
        <v>8568</v>
      </c>
      <c r="I90" s="6"/>
      <c r="J90" s="6"/>
      <c r="K90" s="6" t="s">
        <v>18</v>
      </c>
    </row>
    <row r="91" spans="1:11" ht="14.4" x14ac:dyDescent="0.3">
      <c r="A91" s="5" t="s">
        <v>14</v>
      </c>
      <c r="B91" s="6" t="s">
        <v>175</v>
      </c>
      <c r="C91" s="6" t="s">
        <v>150</v>
      </c>
      <c r="D91" s="6" t="s">
        <v>151</v>
      </c>
      <c r="E91" s="7">
        <v>12</v>
      </c>
      <c r="F91" s="8">
        <v>22.2</v>
      </c>
      <c r="G91" s="9">
        <v>10692</v>
      </c>
      <c r="H91" s="9">
        <v>8455</v>
      </c>
      <c r="I91" s="6"/>
      <c r="J91" s="6"/>
      <c r="K91" s="6" t="s">
        <v>18</v>
      </c>
    </row>
    <row r="92" spans="1:11" ht="14.4" x14ac:dyDescent="0.3">
      <c r="A92" s="5" t="s">
        <v>14</v>
      </c>
      <c r="B92" s="6" t="s">
        <v>176</v>
      </c>
      <c r="C92" s="6" t="s">
        <v>138</v>
      </c>
      <c r="D92" s="6" t="s">
        <v>139</v>
      </c>
      <c r="E92" s="7">
        <v>12</v>
      </c>
      <c r="F92" s="8">
        <v>23.4</v>
      </c>
      <c r="G92" s="9">
        <v>10282</v>
      </c>
      <c r="H92" s="9">
        <v>8759</v>
      </c>
      <c r="I92" s="6"/>
      <c r="J92" s="6"/>
      <c r="K92" s="6" t="s">
        <v>18</v>
      </c>
    </row>
    <row r="93" spans="1:11" ht="14.4" x14ac:dyDescent="0.3">
      <c r="A93" s="5" t="s">
        <v>14</v>
      </c>
      <c r="B93" s="6" t="s">
        <v>177</v>
      </c>
      <c r="C93" s="6" t="s">
        <v>38</v>
      </c>
      <c r="D93" s="6" t="s">
        <v>39</v>
      </c>
      <c r="E93" s="7">
        <v>12</v>
      </c>
      <c r="F93" s="8">
        <v>12.7</v>
      </c>
      <c r="G93" s="9">
        <v>10274</v>
      </c>
      <c r="H93" s="9">
        <v>8362</v>
      </c>
      <c r="I93" s="6"/>
      <c r="J93" s="6"/>
      <c r="K93" s="6" t="s">
        <v>18</v>
      </c>
    </row>
    <row r="94" spans="1:11" ht="14.4" x14ac:dyDescent="0.3">
      <c r="A94" s="5" t="s">
        <v>14</v>
      </c>
      <c r="B94" s="6" t="s">
        <v>178</v>
      </c>
      <c r="C94" s="6" t="s">
        <v>68</v>
      </c>
      <c r="D94" s="6" t="s">
        <v>69</v>
      </c>
      <c r="E94" s="7">
        <v>12</v>
      </c>
      <c r="F94" s="8">
        <v>19.100000000000001</v>
      </c>
      <c r="G94" s="9">
        <v>10188</v>
      </c>
      <c r="H94" s="9">
        <v>8741</v>
      </c>
      <c r="I94" s="6"/>
      <c r="J94" s="6"/>
      <c r="K94" s="6" t="s">
        <v>18</v>
      </c>
    </row>
    <row r="95" spans="1:11" ht="14.4" x14ac:dyDescent="0.3">
      <c r="A95" s="5" t="s">
        <v>14</v>
      </c>
      <c r="B95" s="6" t="s">
        <v>179</v>
      </c>
      <c r="C95" s="6" t="s">
        <v>169</v>
      </c>
      <c r="D95" s="6" t="s">
        <v>170</v>
      </c>
      <c r="E95" s="7">
        <v>12</v>
      </c>
      <c r="F95" s="8">
        <v>24.2</v>
      </c>
      <c r="G95" s="9">
        <v>9920</v>
      </c>
      <c r="H95" s="9">
        <v>8555</v>
      </c>
      <c r="I95" s="6"/>
      <c r="J95" s="6"/>
      <c r="K95" s="6" t="s">
        <v>18</v>
      </c>
    </row>
    <row r="96" spans="1:11" ht="14.4" x14ac:dyDescent="0.3">
      <c r="A96" s="5" t="s">
        <v>14</v>
      </c>
      <c r="B96" s="6" t="s">
        <v>180</v>
      </c>
      <c r="C96" s="6" t="s">
        <v>135</v>
      </c>
      <c r="D96" s="6" t="s">
        <v>136</v>
      </c>
      <c r="E96" s="7">
        <v>12</v>
      </c>
      <c r="F96" s="8">
        <v>26.7</v>
      </c>
      <c r="G96" s="9">
        <v>9869</v>
      </c>
      <c r="H96" s="9">
        <v>7704</v>
      </c>
      <c r="I96" s="6"/>
      <c r="J96" s="6"/>
      <c r="K96" s="6" t="s">
        <v>18</v>
      </c>
    </row>
    <row r="97" spans="1:11" ht="14.4" x14ac:dyDescent="0.3">
      <c r="A97" s="5" t="s">
        <v>14</v>
      </c>
      <c r="B97" s="6" t="s">
        <v>181</v>
      </c>
      <c r="C97" s="6" t="s">
        <v>182</v>
      </c>
      <c r="D97" s="6" t="s">
        <v>183</v>
      </c>
      <c r="E97" s="7">
        <v>12</v>
      </c>
      <c r="F97" s="8">
        <v>4.5</v>
      </c>
      <c r="G97" s="9">
        <v>9588</v>
      </c>
      <c r="H97" s="9">
        <v>8492</v>
      </c>
      <c r="I97" s="6"/>
      <c r="J97" s="6"/>
      <c r="K97" s="6" t="s">
        <v>18</v>
      </c>
    </row>
    <row r="98" spans="1:11" ht="14.4" x14ac:dyDescent="0.3">
      <c r="A98" s="5" t="s">
        <v>14</v>
      </c>
      <c r="B98" s="6" t="s">
        <v>184</v>
      </c>
      <c r="C98" s="6" t="s">
        <v>185</v>
      </c>
      <c r="D98" s="6" t="s">
        <v>186</v>
      </c>
      <c r="E98" s="7">
        <v>12</v>
      </c>
      <c r="F98" s="8">
        <v>26.8</v>
      </c>
      <c r="G98" s="9">
        <v>9550</v>
      </c>
      <c r="H98" s="9">
        <v>8727</v>
      </c>
      <c r="I98" s="6"/>
      <c r="J98" s="6"/>
      <c r="K98" s="6" t="s">
        <v>18</v>
      </c>
    </row>
    <row r="99" spans="1:11" ht="14.4" x14ac:dyDescent="0.3">
      <c r="A99" s="5" t="s">
        <v>14</v>
      </c>
      <c r="B99" s="6" t="s">
        <v>187</v>
      </c>
      <c r="C99" s="6" t="s">
        <v>169</v>
      </c>
      <c r="D99" s="6" t="s">
        <v>170</v>
      </c>
      <c r="E99" s="7">
        <v>12</v>
      </c>
      <c r="F99" s="8">
        <v>19.7</v>
      </c>
      <c r="G99" s="9">
        <v>9338</v>
      </c>
      <c r="H99" s="9">
        <v>8690</v>
      </c>
      <c r="I99" s="6"/>
      <c r="J99" s="6"/>
      <c r="K99" s="6" t="s">
        <v>18</v>
      </c>
    </row>
    <row r="100" spans="1:11" ht="14.4" x14ac:dyDescent="0.3">
      <c r="A100" s="5" t="s">
        <v>14</v>
      </c>
      <c r="B100" s="6" t="s">
        <v>188</v>
      </c>
      <c r="C100" s="6" t="s">
        <v>132</v>
      </c>
      <c r="D100" s="6" t="s">
        <v>133</v>
      </c>
      <c r="E100" s="7">
        <v>12</v>
      </c>
      <c r="F100" s="8">
        <v>22.9</v>
      </c>
      <c r="G100" s="9">
        <v>9230</v>
      </c>
      <c r="H100" s="9">
        <v>8545</v>
      </c>
      <c r="I100" s="6"/>
      <c r="J100" s="6"/>
      <c r="K100" s="6" t="s">
        <v>18</v>
      </c>
    </row>
    <row r="101" spans="1:11" ht="14.4" x14ac:dyDescent="0.3">
      <c r="A101" s="5" t="s">
        <v>14</v>
      </c>
      <c r="B101" s="6" t="s">
        <v>189</v>
      </c>
      <c r="C101" s="6" t="s">
        <v>38</v>
      </c>
      <c r="D101" s="6" t="s">
        <v>39</v>
      </c>
      <c r="E101" s="7">
        <v>12</v>
      </c>
      <c r="F101" s="8">
        <v>18.399999999999999</v>
      </c>
      <c r="G101" s="9">
        <v>9111</v>
      </c>
      <c r="H101" s="9">
        <v>8541</v>
      </c>
      <c r="I101" s="6"/>
      <c r="J101" s="6"/>
      <c r="K101" s="6" t="s">
        <v>18</v>
      </c>
    </row>
    <row r="102" spans="1:11" ht="14.4" x14ac:dyDescent="0.3">
      <c r="A102" s="5" t="s">
        <v>14</v>
      </c>
      <c r="B102" s="6" t="s">
        <v>190</v>
      </c>
      <c r="C102" s="6" t="s">
        <v>85</v>
      </c>
      <c r="D102" s="6" t="s">
        <v>86</v>
      </c>
      <c r="E102" s="7">
        <v>12</v>
      </c>
      <c r="F102" s="8">
        <v>22.6</v>
      </c>
      <c r="G102" s="9">
        <v>9077</v>
      </c>
      <c r="H102" s="9">
        <v>7993</v>
      </c>
      <c r="I102" s="6"/>
      <c r="J102" s="6"/>
      <c r="K102" s="6" t="s">
        <v>18</v>
      </c>
    </row>
    <row r="103" spans="1:11" ht="14.4" x14ac:dyDescent="0.3">
      <c r="A103" s="5" t="s">
        <v>14</v>
      </c>
      <c r="B103" s="6" t="s">
        <v>191</v>
      </c>
      <c r="C103" s="6" t="s">
        <v>192</v>
      </c>
      <c r="D103" s="6" t="s">
        <v>193</v>
      </c>
      <c r="E103" s="7">
        <v>12</v>
      </c>
      <c r="F103" s="8">
        <v>11.1</v>
      </c>
      <c r="G103" s="9">
        <v>9031</v>
      </c>
      <c r="H103" s="9">
        <v>7933</v>
      </c>
      <c r="I103" s="6"/>
      <c r="J103" s="6"/>
      <c r="K103" s="6" t="s">
        <v>18</v>
      </c>
    </row>
    <row r="104" spans="1:11" ht="14.4" x14ac:dyDescent="0.3">
      <c r="A104" s="5" t="s">
        <v>14</v>
      </c>
      <c r="B104" s="6" t="s">
        <v>194</v>
      </c>
      <c r="C104" s="6" t="s">
        <v>195</v>
      </c>
      <c r="D104" s="6" t="s">
        <v>196</v>
      </c>
      <c r="E104" s="7">
        <v>12</v>
      </c>
      <c r="F104" s="8">
        <v>24.8</v>
      </c>
      <c r="G104" s="9">
        <v>9015</v>
      </c>
      <c r="H104" s="9">
        <v>8332</v>
      </c>
      <c r="I104" s="6"/>
      <c r="J104" s="6"/>
      <c r="K104" s="6" t="s">
        <v>18</v>
      </c>
    </row>
    <row r="105" spans="1:11" ht="14.4" x14ac:dyDescent="0.3">
      <c r="A105" s="5" t="s">
        <v>14</v>
      </c>
      <c r="B105" s="6" t="s">
        <v>197</v>
      </c>
      <c r="C105" s="6" t="s">
        <v>198</v>
      </c>
      <c r="D105" s="6" t="s">
        <v>199</v>
      </c>
      <c r="E105" s="7">
        <v>12</v>
      </c>
      <c r="F105" s="8">
        <v>15.8</v>
      </c>
      <c r="G105" s="9">
        <v>8977</v>
      </c>
      <c r="H105" s="9">
        <v>7846</v>
      </c>
      <c r="I105" s="6"/>
      <c r="J105" s="6"/>
      <c r="K105" s="6" t="s">
        <v>18</v>
      </c>
    </row>
    <row r="106" spans="1:11" ht="14.4" x14ac:dyDescent="0.3">
      <c r="A106" s="5" t="s">
        <v>14</v>
      </c>
      <c r="B106" s="6" t="s">
        <v>200</v>
      </c>
      <c r="C106" s="6" t="s">
        <v>169</v>
      </c>
      <c r="D106" s="6" t="s">
        <v>170</v>
      </c>
      <c r="E106" s="7">
        <v>12</v>
      </c>
      <c r="F106" s="8">
        <v>22.6</v>
      </c>
      <c r="G106" s="9">
        <v>8975</v>
      </c>
      <c r="H106" s="9">
        <v>8483</v>
      </c>
      <c r="I106" s="6"/>
      <c r="J106" s="6"/>
      <c r="K106" s="6" t="s">
        <v>18</v>
      </c>
    </row>
    <row r="107" spans="1:11" ht="14.4" x14ac:dyDescent="0.3">
      <c r="A107" s="5" t="s">
        <v>14</v>
      </c>
      <c r="B107" s="6" t="s">
        <v>201</v>
      </c>
      <c r="C107" s="6" t="s">
        <v>150</v>
      </c>
      <c r="D107" s="6" t="s">
        <v>151</v>
      </c>
      <c r="E107" s="7">
        <v>12</v>
      </c>
      <c r="F107" s="8">
        <v>3.8</v>
      </c>
      <c r="G107" s="9">
        <v>8828</v>
      </c>
      <c r="H107" s="9">
        <v>8237</v>
      </c>
      <c r="I107" s="6"/>
      <c r="J107" s="6"/>
      <c r="K107" s="6" t="s">
        <v>18</v>
      </c>
    </row>
    <row r="108" spans="1:11" ht="14.4" x14ac:dyDescent="0.3">
      <c r="A108" s="5" t="s">
        <v>14</v>
      </c>
      <c r="B108" s="6" t="s">
        <v>202</v>
      </c>
      <c r="C108" s="6" t="s">
        <v>85</v>
      </c>
      <c r="D108" s="6" t="s">
        <v>86</v>
      </c>
      <c r="E108" s="7">
        <v>12</v>
      </c>
      <c r="F108" s="8">
        <v>23.1</v>
      </c>
      <c r="G108" s="9">
        <v>8755</v>
      </c>
      <c r="H108" s="9">
        <v>8264</v>
      </c>
      <c r="I108" s="6"/>
      <c r="J108" s="6"/>
      <c r="K108" s="6" t="s">
        <v>18</v>
      </c>
    </row>
    <row r="109" spans="1:11" ht="14.4" x14ac:dyDescent="0.3">
      <c r="A109" s="5" t="s">
        <v>14</v>
      </c>
      <c r="B109" s="6" t="s">
        <v>203</v>
      </c>
      <c r="C109" s="6" t="s">
        <v>150</v>
      </c>
      <c r="D109" s="6" t="s">
        <v>151</v>
      </c>
      <c r="E109" s="7">
        <v>12</v>
      </c>
      <c r="F109" s="8">
        <v>21.2</v>
      </c>
      <c r="G109" s="9">
        <v>8737</v>
      </c>
      <c r="H109" s="9">
        <v>8429</v>
      </c>
      <c r="I109" s="6"/>
      <c r="J109" s="6"/>
      <c r="K109" s="6" t="s">
        <v>18</v>
      </c>
    </row>
    <row r="110" spans="1:11" ht="14.4" x14ac:dyDescent="0.3">
      <c r="A110" s="5" t="s">
        <v>14</v>
      </c>
      <c r="B110" s="6" t="s">
        <v>204</v>
      </c>
      <c r="C110" s="6" t="s">
        <v>115</v>
      </c>
      <c r="D110" s="6" t="s">
        <v>116</v>
      </c>
      <c r="E110" s="7">
        <v>12</v>
      </c>
      <c r="F110" s="8">
        <v>23.2</v>
      </c>
      <c r="G110" s="9">
        <v>8730</v>
      </c>
      <c r="H110" s="9">
        <v>8196</v>
      </c>
      <c r="I110" s="6"/>
      <c r="J110" s="6"/>
      <c r="K110" s="6" t="s">
        <v>18</v>
      </c>
    </row>
    <row r="111" spans="1:11" ht="14.4" x14ac:dyDescent="0.3">
      <c r="A111" s="5" t="s">
        <v>14</v>
      </c>
      <c r="B111" s="6" t="s">
        <v>205</v>
      </c>
      <c r="C111" s="6" t="s">
        <v>206</v>
      </c>
      <c r="D111" s="6" t="s">
        <v>207</v>
      </c>
      <c r="E111" s="7">
        <v>12</v>
      </c>
      <c r="F111" s="8">
        <v>23.6</v>
      </c>
      <c r="G111" s="9">
        <v>8701</v>
      </c>
      <c r="H111" s="9">
        <v>8744</v>
      </c>
      <c r="I111" s="6"/>
      <c r="J111" s="6"/>
      <c r="K111" s="6" t="s">
        <v>18</v>
      </c>
    </row>
    <row r="112" spans="1:11" ht="14.4" x14ac:dyDescent="0.3">
      <c r="A112" s="5" t="s">
        <v>14</v>
      </c>
      <c r="B112" s="6" t="s">
        <v>208</v>
      </c>
      <c r="C112" s="6" t="s">
        <v>169</v>
      </c>
      <c r="D112" s="6" t="s">
        <v>170</v>
      </c>
      <c r="E112" s="7">
        <v>12</v>
      </c>
      <c r="F112" s="8">
        <v>19.399999999999999</v>
      </c>
      <c r="G112" s="9">
        <v>8647</v>
      </c>
      <c r="H112" s="9">
        <v>8706</v>
      </c>
      <c r="I112" s="6"/>
      <c r="J112" s="6"/>
      <c r="K112" s="6" t="s">
        <v>18</v>
      </c>
    </row>
    <row r="113" spans="1:11" ht="14.4" x14ac:dyDescent="0.3">
      <c r="A113" s="5" t="s">
        <v>14</v>
      </c>
      <c r="B113" s="6" t="s">
        <v>209</v>
      </c>
      <c r="C113" s="6" t="s">
        <v>169</v>
      </c>
      <c r="D113" s="6" t="s">
        <v>170</v>
      </c>
      <c r="E113" s="7">
        <v>12</v>
      </c>
      <c r="F113" s="8">
        <v>16.8</v>
      </c>
      <c r="G113" s="9">
        <v>8625</v>
      </c>
      <c r="H113" s="9">
        <v>8654</v>
      </c>
      <c r="I113" s="6"/>
      <c r="J113" s="6"/>
      <c r="K113" s="6" t="s">
        <v>18</v>
      </c>
    </row>
    <row r="114" spans="1:11" ht="14.4" x14ac:dyDescent="0.3">
      <c r="A114" s="5" t="s">
        <v>14</v>
      </c>
      <c r="B114" s="6" t="s">
        <v>210</v>
      </c>
      <c r="C114" s="6" t="s">
        <v>65</v>
      </c>
      <c r="D114" s="6" t="s">
        <v>39</v>
      </c>
      <c r="E114" s="7">
        <v>12</v>
      </c>
      <c r="F114" s="8">
        <v>25.8</v>
      </c>
      <c r="G114" s="9">
        <v>8613</v>
      </c>
      <c r="H114" s="9">
        <v>8474</v>
      </c>
      <c r="I114" s="6"/>
      <c r="J114" s="6"/>
      <c r="K114" s="6" t="s">
        <v>18</v>
      </c>
    </row>
    <row r="115" spans="1:11" ht="14.4" x14ac:dyDescent="0.3">
      <c r="A115" s="5" t="s">
        <v>14</v>
      </c>
      <c r="B115" s="6" t="s">
        <v>211</v>
      </c>
      <c r="C115" s="6" t="s">
        <v>212</v>
      </c>
      <c r="D115" s="6" t="s">
        <v>213</v>
      </c>
      <c r="E115" s="7">
        <v>12</v>
      </c>
      <c r="F115" s="8">
        <v>9.6</v>
      </c>
      <c r="G115" s="9">
        <v>8478</v>
      </c>
      <c r="H115" s="9">
        <v>8129</v>
      </c>
      <c r="I115" s="6"/>
      <c r="J115" s="6"/>
      <c r="K115" s="6" t="s">
        <v>18</v>
      </c>
    </row>
    <row r="116" spans="1:11" ht="14.4" x14ac:dyDescent="0.3">
      <c r="A116" s="5" t="s">
        <v>14</v>
      </c>
      <c r="B116" s="6" t="s">
        <v>214</v>
      </c>
      <c r="C116" s="6" t="s">
        <v>215</v>
      </c>
      <c r="D116" s="6" t="s">
        <v>193</v>
      </c>
      <c r="E116" s="7">
        <v>12</v>
      </c>
      <c r="F116" s="8">
        <v>5.0999999999999996</v>
      </c>
      <c r="G116" s="9">
        <v>8469</v>
      </c>
      <c r="H116" s="9">
        <v>8470</v>
      </c>
      <c r="I116" s="6"/>
      <c r="J116" s="6"/>
      <c r="K116" s="6" t="s">
        <v>18</v>
      </c>
    </row>
    <row r="117" spans="1:11" ht="14.4" x14ac:dyDescent="0.3">
      <c r="A117" s="5" t="s">
        <v>14</v>
      </c>
      <c r="B117" s="6" t="s">
        <v>216</v>
      </c>
      <c r="C117" s="6" t="s">
        <v>217</v>
      </c>
      <c r="D117" s="6" t="s">
        <v>218</v>
      </c>
      <c r="E117" s="7">
        <v>12</v>
      </c>
      <c r="F117" s="8">
        <v>17.600000000000001</v>
      </c>
      <c r="G117" s="9">
        <v>8335</v>
      </c>
      <c r="H117" s="9">
        <v>8652</v>
      </c>
      <c r="I117" s="6"/>
      <c r="J117" s="6"/>
      <c r="K117" s="6" t="s">
        <v>18</v>
      </c>
    </row>
    <row r="118" spans="1:11" ht="14.4" x14ac:dyDescent="0.3">
      <c r="A118" s="5" t="s">
        <v>14</v>
      </c>
      <c r="B118" s="6" t="s">
        <v>219</v>
      </c>
      <c r="C118" s="6" t="s">
        <v>138</v>
      </c>
      <c r="D118" s="6" t="s">
        <v>139</v>
      </c>
      <c r="E118" s="7">
        <v>12</v>
      </c>
      <c r="F118" s="8">
        <v>12</v>
      </c>
      <c r="G118" s="9">
        <v>8318</v>
      </c>
      <c r="H118" s="9">
        <v>8732</v>
      </c>
      <c r="I118" s="6"/>
      <c r="J118" s="6"/>
      <c r="K118" s="6" t="s">
        <v>18</v>
      </c>
    </row>
    <row r="119" spans="1:11" ht="14.4" x14ac:dyDescent="0.3">
      <c r="A119" s="5" t="s">
        <v>14</v>
      </c>
      <c r="B119" s="6" t="s">
        <v>220</v>
      </c>
      <c r="C119" s="6" t="s">
        <v>115</v>
      </c>
      <c r="D119" s="6" t="s">
        <v>116</v>
      </c>
      <c r="E119" s="7">
        <v>12</v>
      </c>
      <c r="F119" s="8">
        <v>28</v>
      </c>
      <c r="G119" s="9">
        <v>8311</v>
      </c>
      <c r="H119" s="9">
        <v>8253</v>
      </c>
      <c r="I119" s="6"/>
      <c r="J119" s="6"/>
      <c r="K119" s="6" t="s">
        <v>18</v>
      </c>
    </row>
    <row r="120" spans="1:11" ht="14.4" x14ac:dyDescent="0.3">
      <c r="A120" s="5" t="s">
        <v>14</v>
      </c>
      <c r="B120" s="6" t="s">
        <v>221</v>
      </c>
      <c r="C120" s="6" t="s">
        <v>206</v>
      </c>
      <c r="D120" s="6" t="s">
        <v>207</v>
      </c>
      <c r="E120" s="7">
        <v>12</v>
      </c>
      <c r="F120" s="8">
        <v>24.9</v>
      </c>
      <c r="G120" s="9">
        <v>8250</v>
      </c>
      <c r="H120" s="9">
        <v>8748</v>
      </c>
      <c r="I120" s="6"/>
      <c r="J120" s="6"/>
      <c r="K120" s="6" t="s">
        <v>18</v>
      </c>
    </row>
    <row r="121" spans="1:11" ht="14.4" x14ac:dyDescent="0.3">
      <c r="A121" s="5" t="s">
        <v>14</v>
      </c>
      <c r="B121" s="6" t="s">
        <v>222</v>
      </c>
      <c r="C121" s="6" t="s">
        <v>159</v>
      </c>
      <c r="D121" s="6" t="s">
        <v>160</v>
      </c>
      <c r="E121" s="7">
        <v>12</v>
      </c>
      <c r="F121" s="8">
        <v>21</v>
      </c>
      <c r="G121" s="9">
        <v>8055</v>
      </c>
      <c r="H121" s="9">
        <v>8415</v>
      </c>
      <c r="I121" s="6"/>
      <c r="J121" s="6"/>
      <c r="K121" s="6" t="s">
        <v>18</v>
      </c>
    </row>
    <row r="122" spans="1:11" ht="14.4" x14ac:dyDescent="0.3">
      <c r="A122" s="5" t="s">
        <v>14</v>
      </c>
      <c r="B122" s="6" t="s">
        <v>223</v>
      </c>
      <c r="C122" s="6" t="s">
        <v>169</v>
      </c>
      <c r="D122" s="6" t="s">
        <v>170</v>
      </c>
      <c r="E122" s="7">
        <v>12</v>
      </c>
      <c r="F122" s="8">
        <v>24.2</v>
      </c>
      <c r="G122" s="9">
        <v>8045</v>
      </c>
      <c r="H122" s="9">
        <v>8553</v>
      </c>
      <c r="I122" s="6"/>
      <c r="J122" s="6"/>
      <c r="K122" s="6" t="s">
        <v>18</v>
      </c>
    </row>
    <row r="123" spans="1:11" ht="14.4" x14ac:dyDescent="0.3">
      <c r="A123" s="5" t="s">
        <v>14</v>
      </c>
      <c r="B123" s="6" t="s">
        <v>224</v>
      </c>
      <c r="C123" s="6" t="s">
        <v>225</v>
      </c>
      <c r="D123" s="6" t="s">
        <v>226</v>
      </c>
      <c r="E123" s="7">
        <v>12</v>
      </c>
      <c r="F123" s="8">
        <v>26.5</v>
      </c>
      <c r="G123" s="9">
        <v>8026</v>
      </c>
      <c r="H123" s="9">
        <v>8139</v>
      </c>
      <c r="I123" s="6"/>
      <c r="J123" s="6"/>
      <c r="K123" s="6" t="s">
        <v>18</v>
      </c>
    </row>
    <row r="124" spans="1:11" ht="14.4" x14ac:dyDescent="0.3">
      <c r="A124" s="5" t="s">
        <v>14</v>
      </c>
      <c r="B124" s="6" t="s">
        <v>227</v>
      </c>
      <c r="C124" s="6" t="s">
        <v>44</v>
      </c>
      <c r="D124" s="6" t="s">
        <v>45</v>
      </c>
      <c r="E124" s="7">
        <v>12</v>
      </c>
      <c r="F124" s="8">
        <v>23.4</v>
      </c>
      <c r="G124" s="9">
        <v>7926</v>
      </c>
      <c r="H124" s="9">
        <v>8748</v>
      </c>
      <c r="I124" s="6"/>
      <c r="J124" s="6"/>
      <c r="K124" s="6" t="s">
        <v>18</v>
      </c>
    </row>
    <row r="125" spans="1:11" ht="14.4" x14ac:dyDescent="0.3">
      <c r="A125" s="5" t="s">
        <v>14</v>
      </c>
      <c r="B125" s="6" t="s">
        <v>228</v>
      </c>
      <c r="C125" s="6" t="s">
        <v>123</v>
      </c>
      <c r="D125" s="6" t="s">
        <v>124</v>
      </c>
      <c r="E125" s="7">
        <v>12</v>
      </c>
      <c r="F125" s="8">
        <v>19</v>
      </c>
      <c r="G125" s="9">
        <v>7909</v>
      </c>
      <c r="H125" s="9">
        <v>8637</v>
      </c>
      <c r="I125" s="6"/>
      <c r="J125" s="6"/>
      <c r="K125" s="6" t="s">
        <v>18</v>
      </c>
    </row>
    <row r="126" spans="1:11" ht="14.4" x14ac:dyDescent="0.3">
      <c r="A126" s="5" t="s">
        <v>14</v>
      </c>
      <c r="B126" s="6" t="s">
        <v>229</v>
      </c>
      <c r="C126" s="6" t="s">
        <v>100</v>
      </c>
      <c r="D126" s="6" t="s">
        <v>101</v>
      </c>
      <c r="E126" s="7">
        <v>12</v>
      </c>
      <c r="F126" s="8">
        <v>22.2</v>
      </c>
      <c r="G126" s="9">
        <v>7857</v>
      </c>
      <c r="H126" s="9">
        <v>8046</v>
      </c>
      <c r="I126" s="6"/>
      <c r="J126" s="6"/>
      <c r="K126" s="6" t="s">
        <v>18</v>
      </c>
    </row>
    <row r="127" spans="1:11" ht="14.4" x14ac:dyDescent="0.3">
      <c r="A127" s="5" t="s">
        <v>14</v>
      </c>
      <c r="B127" s="6" t="s">
        <v>230</v>
      </c>
      <c r="C127" s="6" t="s">
        <v>231</v>
      </c>
      <c r="D127" s="6" t="s">
        <v>232</v>
      </c>
      <c r="E127" s="7">
        <v>12</v>
      </c>
      <c r="F127" s="8">
        <v>23.4</v>
      </c>
      <c r="G127" s="9">
        <v>7716</v>
      </c>
      <c r="H127" s="9">
        <v>8721</v>
      </c>
      <c r="I127" s="6"/>
      <c r="J127" s="6"/>
      <c r="K127" s="6" t="s">
        <v>18</v>
      </c>
    </row>
    <row r="128" spans="1:11" ht="14.4" x14ac:dyDescent="0.3">
      <c r="A128" s="5" t="s">
        <v>14</v>
      </c>
      <c r="B128" s="6" t="s">
        <v>233</v>
      </c>
      <c r="C128" s="6" t="s">
        <v>231</v>
      </c>
      <c r="D128" s="6" t="s">
        <v>232</v>
      </c>
      <c r="E128" s="7">
        <v>12</v>
      </c>
      <c r="F128" s="8">
        <v>8.3000000000000007</v>
      </c>
      <c r="G128" s="9">
        <v>7599</v>
      </c>
      <c r="H128" s="9">
        <v>8061</v>
      </c>
      <c r="I128" s="6"/>
      <c r="J128" s="6"/>
      <c r="K128" s="6" t="s">
        <v>18</v>
      </c>
    </row>
    <row r="129" spans="1:11" ht="14.4" x14ac:dyDescent="0.3">
      <c r="A129" s="5" t="s">
        <v>14</v>
      </c>
      <c r="B129" s="6" t="s">
        <v>234</v>
      </c>
      <c r="C129" s="6" t="s">
        <v>235</v>
      </c>
      <c r="D129" s="6" t="s">
        <v>236</v>
      </c>
      <c r="E129" s="7">
        <v>12</v>
      </c>
      <c r="F129" s="8">
        <v>18.2</v>
      </c>
      <c r="G129" s="9">
        <v>7594</v>
      </c>
      <c r="H129" s="9">
        <v>8732</v>
      </c>
      <c r="I129" s="6"/>
      <c r="J129" s="6"/>
      <c r="K129" s="6" t="s">
        <v>18</v>
      </c>
    </row>
    <row r="130" spans="1:11" ht="14.4" x14ac:dyDescent="0.3">
      <c r="A130" s="5" t="s">
        <v>14</v>
      </c>
      <c r="B130" s="6" t="s">
        <v>237</v>
      </c>
      <c r="C130" s="6" t="s">
        <v>212</v>
      </c>
      <c r="D130" s="6" t="s">
        <v>213</v>
      </c>
      <c r="E130" s="7">
        <v>12</v>
      </c>
      <c r="F130" s="8">
        <v>7.4</v>
      </c>
      <c r="G130" s="9">
        <v>7219</v>
      </c>
      <c r="H130" s="9">
        <v>8186</v>
      </c>
      <c r="I130" s="6"/>
      <c r="J130" s="6"/>
      <c r="K130" s="6" t="s">
        <v>18</v>
      </c>
    </row>
    <row r="131" spans="1:11" ht="14.4" x14ac:dyDescent="0.3">
      <c r="A131" s="5" t="s">
        <v>14</v>
      </c>
      <c r="B131" s="6" t="s">
        <v>238</v>
      </c>
      <c r="C131" s="6" t="s">
        <v>239</v>
      </c>
      <c r="D131" s="6" t="s">
        <v>240</v>
      </c>
      <c r="E131" s="7">
        <v>12</v>
      </c>
      <c r="F131" s="8">
        <v>21.2</v>
      </c>
      <c r="G131" s="9">
        <v>7185</v>
      </c>
      <c r="H131" s="9">
        <v>8728</v>
      </c>
      <c r="I131" s="6"/>
      <c r="J131" s="6"/>
      <c r="K131" s="6" t="s">
        <v>18</v>
      </c>
    </row>
    <row r="132" spans="1:11" ht="14.4" x14ac:dyDescent="0.3">
      <c r="A132" s="5" t="s">
        <v>14</v>
      </c>
      <c r="B132" s="6" t="s">
        <v>241</v>
      </c>
      <c r="C132" s="6" t="s">
        <v>242</v>
      </c>
      <c r="D132" s="6" t="s">
        <v>243</v>
      </c>
      <c r="E132" s="7">
        <v>12</v>
      </c>
      <c r="F132" s="8">
        <v>8.1999999999999993</v>
      </c>
      <c r="G132" s="9">
        <v>7146</v>
      </c>
      <c r="H132" s="9">
        <v>8531</v>
      </c>
      <c r="I132" s="6"/>
      <c r="J132" s="6"/>
      <c r="K132" s="6" t="s">
        <v>18</v>
      </c>
    </row>
    <row r="133" spans="1:11" ht="14.4" x14ac:dyDescent="0.3">
      <c r="A133" s="5" t="s">
        <v>14</v>
      </c>
      <c r="B133" s="6" t="s">
        <v>244</v>
      </c>
      <c r="C133" s="6" t="s">
        <v>206</v>
      </c>
      <c r="D133" s="6" t="s">
        <v>207</v>
      </c>
      <c r="E133" s="7">
        <v>12</v>
      </c>
      <c r="F133" s="8">
        <v>19.3</v>
      </c>
      <c r="G133" s="9">
        <v>7144</v>
      </c>
      <c r="H133" s="9">
        <v>8714</v>
      </c>
      <c r="I133" s="6"/>
      <c r="J133" s="6"/>
      <c r="K133" s="6" t="s">
        <v>18</v>
      </c>
    </row>
    <row r="134" spans="1:11" ht="14.4" x14ac:dyDescent="0.3">
      <c r="A134" s="5" t="s">
        <v>14</v>
      </c>
      <c r="B134" s="6" t="s">
        <v>245</v>
      </c>
      <c r="C134" s="6" t="s">
        <v>246</v>
      </c>
      <c r="D134" s="6" t="s">
        <v>247</v>
      </c>
      <c r="E134" s="7">
        <v>12</v>
      </c>
      <c r="F134" s="8">
        <v>15.8</v>
      </c>
      <c r="G134" s="9">
        <v>7110</v>
      </c>
      <c r="H134" s="9">
        <v>8715</v>
      </c>
      <c r="I134" s="6"/>
      <c r="J134" s="6"/>
      <c r="K134" s="6" t="s">
        <v>18</v>
      </c>
    </row>
    <row r="135" spans="1:11" ht="14.4" x14ac:dyDescent="0.3">
      <c r="A135" s="5" t="s">
        <v>14</v>
      </c>
      <c r="B135" s="6" t="s">
        <v>248</v>
      </c>
      <c r="C135" s="6" t="s">
        <v>249</v>
      </c>
      <c r="D135" s="6" t="s">
        <v>250</v>
      </c>
      <c r="E135" s="7">
        <v>12</v>
      </c>
      <c r="F135" s="8">
        <v>22.5</v>
      </c>
      <c r="G135" s="9">
        <v>7055</v>
      </c>
      <c r="H135" s="9">
        <v>8600</v>
      </c>
      <c r="I135" s="6"/>
      <c r="J135" s="6"/>
      <c r="K135" s="6" t="s">
        <v>18</v>
      </c>
    </row>
    <row r="136" spans="1:11" ht="14.4" x14ac:dyDescent="0.3">
      <c r="A136" s="5" t="s">
        <v>14</v>
      </c>
      <c r="B136" s="6" t="s">
        <v>251</v>
      </c>
      <c r="C136" s="6" t="s">
        <v>132</v>
      </c>
      <c r="D136" s="6" t="s">
        <v>133</v>
      </c>
      <c r="E136" s="7">
        <v>12</v>
      </c>
      <c r="F136" s="8">
        <v>25.2</v>
      </c>
      <c r="G136" s="9">
        <v>6896</v>
      </c>
      <c r="H136" s="9">
        <v>8156</v>
      </c>
      <c r="I136" s="6"/>
      <c r="J136" s="6"/>
      <c r="K136" s="6" t="s">
        <v>18</v>
      </c>
    </row>
    <row r="137" spans="1:11" ht="14.4" x14ac:dyDescent="0.3">
      <c r="A137" s="5" t="s">
        <v>14</v>
      </c>
      <c r="B137" s="6" t="s">
        <v>252</v>
      </c>
      <c r="C137" s="6" t="s">
        <v>173</v>
      </c>
      <c r="D137" s="6" t="s">
        <v>174</v>
      </c>
      <c r="E137" s="7">
        <v>12</v>
      </c>
      <c r="F137" s="8">
        <v>16.399999999999999</v>
      </c>
      <c r="G137" s="9">
        <v>6780</v>
      </c>
      <c r="H137" s="9">
        <v>8697</v>
      </c>
      <c r="I137" s="6"/>
      <c r="J137" s="6"/>
      <c r="K137" s="6" t="s">
        <v>18</v>
      </c>
    </row>
    <row r="138" spans="1:11" ht="14.4" x14ac:dyDescent="0.3">
      <c r="A138" s="5" t="s">
        <v>14</v>
      </c>
      <c r="B138" s="6" t="s">
        <v>253</v>
      </c>
      <c r="C138" s="6" t="s">
        <v>173</v>
      </c>
      <c r="D138" s="6" t="s">
        <v>174</v>
      </c>
      <c r="E138" s="7">
        <v>12</v>
      </c>
      <c r="F138" s="8">
        <v>10.9</v>
      </c>
      <c r="G138" s="9">
        <v>6706</v>
      </c>
      <c r="H138" s="9">
        <v>8697</v>
      </c>
      <c r="I138" s="6"/>
      <c r="J138" s="6"/>
      <c r="K138" s="6" t="s">
        <v>18</v>
      </c>
    </row>
    <row r="139" spans="1:11" ht="14.4" x14ac:dyDescent="0.3">
      <c r="A139" s="5" t="s">
        <v>14</v>
      </c>
      <c r="B139" s="6" t="s">
        <v>254</v>
      </c>
      <c r="C139" s="6" t="s">
        <v>255</v>
      </c>
      <c r="D139" s="6" t="s">
        <v>256</v>
      </c>
      <c r="E139" s="7">
        <v>12</v>
      </c>
      <c r="F139" s="8">
        <v>19.3</v>
      </c>
      <c r="G139" s="9">
        <v>6685</v>
      </c>
      <c r="H139" s="9">
        <v>8632</v>
      </c>
      <c r="I139" s="6"/>
      <c r="J139" s="6"/>
      <c r="K139" s="6" t="s">
        <v>18</v>
      </c>
    </row>
    <row r="140" spans="1:11" ht="14.4" x14ac:dyDescent="0.3">
      <c r="A140" s="5" t="s">
        <v>14</v>
      </c>
      <c r="B140" s="6" t="s">
        <v>257</v>
      </c>
      <c r="C140" s="6" t="s">
        <v>255</v>
      </c>
      <c r="D140" s="6" t="s">
        <v>256</v>
      </c>
      <c r="E140" s="7">
        <v>12</v>
      </c>
      <c r="F140" s="8">
        <v>19.3</v>
      </c>
      <c r="G140" s="9">
        <v>6640</v>
      </c>
      <c r="H140" s="9">
        <v>8537</v>
      </c>
      <c r="I140" s="6"/>
      <c r="J140" s="6"/>
      <c r="K140" s="6" t="s">
        <v>18</v>
      </c>
    </row>
    <row r="141" spans="1:11" ht="14.4" x14ac:dyDescent="0.3">
      <c r="A141" s="5" t="s">
        <v>14</v>
      </c>
      <c r="B141" s="6" t="s">
        <v>258</v>
      </c>
      <c r="C141" s="6" t="s">
        <v>68</v>
      </c>
      <c r="D141" s="6" t="s">
        <v>69</v>
      </c>
      <c r="E141" s="7">
        <v>12</v>
      </c>
      <c r="F141" s="8">
        <v>11.7</v>
      </c>
      <c r="G141" s="9">
        <v>6543</v>
      </c>
      <c r="H141" s="9">
        <v>8747</v>
      </c>
      <c r="I141" s="6"/>
      <c r="J141" s="6"/>
      <c r="K141" s="6" t="s">
        <v>18</v>
      </c>
    </row>
    <row r="142" spans="1:11" ht="14.4" x14ac:dyDescent="0.3">
      <c r="A142" s="5" t="s">
        <v>14</v>
      </c>
      <c r="B142" s="6" t="s">
        <v>259</v>
      </c>
      <c r="C142" s="6" t="s">
        <v>235</v>
      </c>
      <c r="D142" s="6" t="s">
        <v>236</v>
      </c>
      <c r="E142" s="7">
        <v>12</v>
      </c>
      <c r="F142" s="8">
        <v>16.899999999999999</v>
      </c>
      <c r="G142" s="9">
        <v>6486</v>
      </c>
      <c r="H142" s="9">
        <v>8365</v>
      </c>
      <c r="I142" s="6"/>
      <c r="J142" s="6"/>
      <c r="K142" s="6" t="s">
        <v>18</v>
      </c>
    </row>
    <row r="143" spans="1:11" ht="14.4" x14ac:dyDescent="0.3">
      <c r="A143" s="5" t="s">
        <v>14</v>
      </c>
      <c r="B143" s="6" t="s">
        <v>260</v>
      </c>
      <c r="C143" s="6" t="s">
        <v>95</v>
      </c>
      <c r="D143" s="6" t="s">
        <v>96</v>
      </c>
      <c r="E143" s="7">
        <v>12</v>
      </c>
      <c r="F143" s="8">
        <v>25.4</v>
      </c>
      <c r="G143" s="9">
        <v>6443</v>
      </c>
      <c r="H143" s="9">
        <v>8655</v>
      </c>
      <c r="I143" s="6"/>
      <c r="J143" s="6"/>
      <c r="K143" s="6" t="s">
        <v>18</v>
      </c>
    </row>
    <row r="144" spans="1:11" ht="14.4" x14ac:dyDescent="0.3">
      <c r="A144" s="5" t="s">
        <v>14</v>
      </c>
      <c r="B144" s="6" t="s">
        <v>261</v>
      </c>
      <c r="C144" s="6" t="s">
        <v>246</v>
      </c>
      <c r="D144" s="6" t="s">
        <v>247</v>
      </c>
      <c r="E144" s="7">
        <v>12</v>
      </c>
      <c r="F144" s="8">
        <v>16.7</v>
      </c>
      <c r="G144" s="9">
        <v>6404</v>
      </c>
      <c r="H144" s="9">
        <v>8549</v>
      </c>
      <c r="I144" s="6"/>
      <c r="J144" s="6"/>
      <c r="K144" s="6" t="s">
        <v>18</v>
      </c>
    </row>
    <row r="145" spans="1:11" ht="14.4" x14ac:dyDescent="0.3">
      <c r="A145" s="5" t="s">
        <v>14</v>
      </c>
      <c r="B145" s="6" t="s">
        <v>262</v>
      </c>
      <c r="C145" s="6" t="s">
        <v>263</v>
      </c>
      <c r="D145" s="6" t="s">
        <v>264</v>
      </c>
      <c r="E145" s="7">
        <v>12</v>
      </c>
      <c r="F145" s="8">
        <v>15.9</v>
      </c>
      <c r="G145" s="9">
        <v>6382</v>
      </c>
      <c r="H145" s="9">
        <v>8756</v>
      </c>
      <c r="I145" s="6"/>
      <c r="J145" s="6"/>
      <c r="K145" s="6" t="s">
        <v>18</v>
      </c>
    </row>
    <row r="146" spans="1:11" ht="14.4" x14ac:dyDescent="0.3">
      <c r="A146" s="5" t="s">
        <v>14</v>
      </c>
      <c r="B146" s="6" t="s">
        <v>265</v>
      </c>
      <c r="C146" s="6" t="s">
        <v>266</v>
      </c>
      <c r="D146" s="6" t="s">
        <v>267</v>
      </c>
      <c r="E146" s="7">
        <v>12</v>
      </c>
      <c r="F146" s="8">
        <v>5</v>
      </c>
      <c r="G146" s="9">
        <v>6310</v>
      </c>
      <c r="H146" s="9">
        <v>8728</v>
      </c>
      <c r="I146" s="6"/>
      <c r="J146" s="6"/>
      <c r="K146" s="6" t="s">
        <v>18</v>
      </c>
    </row>
    <row r="147" spans="1:11" ht="14.4" x14ac:dyDescent="0.3">
      <c r="A147" s="5" t="s">
        <v>14</v>
      </c>
      <c r="B147" s="6" t="s">
        <v>268</v>
      </c>
      <c r="C147" s="6" t="s">
        <v>269</v>
      </c>
      <c r="D147" s="6" t="s">
        <v>270</v>
      </c>
      <c r="E147" s="7">
        <v>12</v>
      </c>
      <c r="F147" s="8">
        <v>7.2</v>
      </c>
      <c r="G147" s="9">
        <v>6302</v>
      </c>
      <c r="H147" s="9">
        <v>8710</v>
      </c>
      <c r="I147" s="6"/>
      <c r="J147" s="6"/>
      <c r="K147" s="6" t="s">
        <v>18</v>
      </c>
    </row>
    <row r="148" spans="1:11" ht="14.4" x14ac:dyDescent="0.3">
      <c r="A148" s="5" t="s">
        <v>14</v>
      </c>
      <c r="B148" s="6" t="s">
        <v>271</v>
      </c>
      <c r="C148" s="6" t="s">
        <v>272</v>
      </c>
      <c r="D148" s="6" t="s">
        <v>273</v>
      </c>
      <c r="E148" s="7">
        <v>12</v>
      </c>
      <c r="F148" s="8">
        <v>12.9</v>
      </c>
      <c r="G148" s="9">
        <v>6203</v>
      </c>
      <c r="H148" s="9">
        <v>8534</v>
      </c>
      <c r="I148" s="6"/>
      <c r="J148" s="6"/>
      <c r="K148" s="6" t="s">
        <v>18</v>
      </c>
    </row>
    <row r="149" spans="1:11" ht="14.4" x14ac:dyDescent="0.3">
      <c r="A149" s="5" t="s">
        <v>14</v>
      </c>
      <c r="B149" s="6" t="s">
        <v>274</v>
      </c>
      <c r="C149" s="6" t="s">
        <v>275</v>
      </c>
      <c r="D149" s="6" t="s">
        <v>276</v>
      </c>
      <c r="E149" s="7">
        <v>12</v>
      </c>
      <c r="F149" s="8">
        <v>33</v>
      </c>
      <c r="G149" s="9">
        <v>6194</v>
      </c>
      <c r="H149" s="9">
        <v>7980</v>
      </c>
      <c r="I149" s="6"/>
      <c r="J149" s="6"/>
      <c r="K149" s="6" t="s">
        <v>18</v>
      </c>
    </row>
    <row r="150" spans="1:11" ht="14.4" x14ac:dyDescent="0.3">
      <c r="A150" s="5" t="s">
        <v>14</v>
      </c>
      <c r="B150" s="6" t="s">
        <v>277</v>
      </c>
      <c r="C150" s="6" t="s">
        <v>278</v>
      </c>
      <c r="D150" s="6" t="s">
        <v>279</v>
      </c>
      <c r="E150" s="7">
        <v>12</v>
      </c>
      <c r="F150" s="8">
        <v>14.4</v>
      </c>
      <c r="G150" s="9">
        <v>6173</v>
      </c>
      <c r="H150" s="9">
        <v>8696</v>
      </c>
      <c r="I150" s="6"/>
      <c r="J150" s="6"/>
      <c r="K150" s="6" t="s">
        <v>18</v>
      </c>
    </row>
    <row r="151" spans="1:11" ht="14.4" x14ac:dyDescent="0.3">
      <c r="A151" s="5" t="s">
        <v>14</v>
      </c>
      <c r="B151" s="6" t="s">
        <v>280</v>
      </c>
      <c r="C151" s="6" t="s">
        <v>275</v>
      </c>
      <c r="D151" s="6" t="s">
        <v>276</v>
      </c>
      <c r="E151" s="7">
        <v>12</v>
      </c>
      <c r="F151" s="8">
        <v>14.7</v>
      </c>
      <c r="G151" s="9">
        <v>6115</v>
      </c>
      <c r="H151" s="9">
        <v>8760</v>
      </c>
      <c r="I151" s="6"/>
      <c r="J151" s="6"/>
      <c r="K151" s="6" t="s">
        <v>18</v>
      </c>
    </row>
    <row r="152" spans="1:11" ht="14.4" x14ac:dyDescent="0.3">
      <c r="A152" s="5" t="s">
        <v>14</v>
      </c>
      <c r="B152" s="6" t="s">
        <v>281</v>
      </c>
      <c r="C152" s="6" t="s">
        <v>123</v>
      </c>
      <c r="D152" s="6" t="s">
        <v>124</v>
      </c>
      <c r="E152" s="7">
        <v>12</v>
      </c>
      <c r="F152" s="8">
        <v>12.3</v>
      </c>
      <c r="G152" s="9">
        <v>6072</v>
      </c>
      <c r="H152" s="9">
        <v>8621</v>
      </c>
      <c r="I152" s="6"/>
      <c r="J152" s="6"/>
      <c r="K152" s="6" t="s">
        <v>18</v>
      </c>
    </row>
    <row r="153" spans="1:11" ht="14.4" x14ac:dyDescent="0.3">
      <c r="A153" s="5" t="s">
        <v>14</v>
      </c>
      <c r="B153" s="6" t="s">
        <v>282</v>
      </c>
      <c r="C153" s="6" t="s">
        <v>266</v>
      </c>
      <c r="D153" s="6" t="s">
        <v>267</v>
      </c>
      <c r="E153" s="7">
        <v>12</v>
      </c>
      <c r="F153" s="8">
        <v>18.8</v>
      </c>
      <c r="G153" s="9">
        <v>6002</v>
      </c>
      <c r="H153" s="9">
        <v>8687</v>
      </c>
      <c r="I153" s="6"/>
      <c r="J153" s="6"/>
      <c r="K153" s="6" t="s">
        <v>18</v>
      </c>
    </row>
    <row r="154" spans="1:11" ht="14.4" x14ac:dyDescent="0.3">
      <c r="A154" s="5" t="s">
        <v>14</v>
      </c>
      <c r="B154" s="6" t="s">
        <v>283</v>
      </c>
      <c r="C154" s="6" t="s">
        <v>217</v>
      </c>
      <c r="D154" s="6" t="s">
        <v>218</v>
      </c>
      <c r="E154" s="7">
        <v>12</v>
      </c>
      <c r="F154" s="8">
        <v>18.7</v>
      </c>
      <c r="G154" s="9">
        <v>5917</v>
      </c>
      <c r="H154" s="9">
        <v>8223</v>
      </c>
      <c r="I154" s="6"/>
      <c r="J154" s="6"/>
      <c r="K154" s="6" t="s">
        <v>18</v>
      </c>
    </row>
    <row r="155" spans="1:11" ht="14.4" x14ac:dyDescent="0.3">
      <c r="A155" s="5" t="s">
        <v>14</v>
      </c>
      <c r="B155" s="6" t="s">
        <v>284</v>
      </c>
      <c r="C155" s="6" t="s">
        <v>135</v>
      </c>
      <c r="D155" s="6" t="s">
        <v>136</v>
      </c>
      <c r="E155" s="7">
        <v>12</v>
      </c>
      <c r="F155" s="8">
        <v>16.600000000000001</v>
      </c>
      <c r="G155" s="9">
        <v>5752</v>
      </c>
      <c r="H155" s="9">
        <v>8642</v>
      </c>
      <c r="I155" s="6"/>
      <c r="J155" s="6"/>
      <c r="K155" s="6" t="s">
        <v>18</v>
      </c>
    </row>
    <row r="156" spans="1:11" ht="14.4" x14ac:dyDescent="0.3">
      <c r="A156" s="5" t="s">
        <v>14</v>
      </c>
      <c r="B156" s="6" t="s">
        <v>285</v>
      </c>
      <c r="C156" s="6" t="s">
        <v>286</v>
      </c>
      <c r="D156" s="6" t="s">
        <v>287</v>
      </c>
      <c r="E156" s="7">
        <v>12</v>
      </c>
      <c r="F156" s="8">
        <v>1</v>
      </c>
      <c r="G156" s="9">
        <v>5730</v>
      </c>
      <c r="H156" s="9">
        <v>8753</v>
      </c>
      <c r="I156" s="6"/>
      <c r="J156" s="6"/>
      <c r="K156" s="6" t="s">
        <v>18</v>
      </c>
    </row>
    <row r="157" spans="1:11" ht="14.4" x14ac:dyDescent="0.3">
      <c r="A157" s="5" t="s">
        <v>14</v>
      </c>
      <c r="B157" s="6" t="s">
        <v>288</v>
      </c>
      <c r="C157" s="6" t="s">
        <v>289</v>
      </c>
      <c r="D157" s="6" t="s">
        <v>290</v>
      </c>
      <c r="E157" s="7">
        <v>12</v>
      </c>
      <c r="F157" s="8">
        <v>22.9</v>
      </c>
      <c r="G157" s="9">
        <v>5682</v>
      </c>
      <c r="H157" s="9">
        <v>8600</v>
      </c>
      <c r="I157" s="6"/>
      <c r="J157" s="6"/>
      <c r="K157" s="6" t="s">
        <v>18</v>
      </c>
    </row>
    <row r="158" spans="1:11" ht="14.4" x14ac:dyDescent="0.3">
      <c r="A158" s="5" t="s">
        <v>14</v>
      </c>
      <c r="B158" s="6" t="s">
        <v>291</v>
      </c>
      <c r="C158" s="6" t="s">
        <v>292</v>
      </c>
      <c r="D158" s="6" t="s">
        <v>293</v>
      </c>
      <c r="E158" s="7">
        <v>12</v>
      </c>
      <c r="F158" s="8">
        <v>13</v>
      </c>
      <c r="G158" s="9">
        <v>5678</v>
      </c>
      <c r="H158" s="9">
        <v>8260</v>
      </c>
      <c r="I158" s="6"/>
      <c r="J158" s="6"/>
      <c r="K158" s="6" t="s">
        <v>18</v>
      </c>
    </row>
    <row r="159" spans="1:11" ht="14.4" x14ac:dyDescent="0.3">
      <c r="A159" s="5" t="s">
        <v>14</v>
      </c>
      <c r="B159" s="6" t="s">
        <v>294</v>
      </c>
      <c r="C159" s="6" t="s">
        <v>68</v>
      </c>
      <c r="D159" s="6" t="s">
        <v>69</v>
      </c>
      <c r="E159" s="7">
        <v>12</v>
      </c>
      <c r="F159" s="8">
        <v>19.5</v>
      </c>
      <c r="G159" s="9">
        <v>5677</v>
      </c>
      <c r="H159" s="9">
        <v>8221</v>
      </c>
      <c r="I159" s="6"/>
      <c r="J159" s="6"/>
      <c r="K159" s="6" t="s">
        <v>18</v>
      </c>
    </row>
    <row r="160" spans="1:11" ht="14.4" x14ac:dyDescent="0.3">
      <c r="A160" s="5" t="s">
        <v>14</v>
      </c>
      <c r="B160" s="6" t="s">
        <v>295</v>
      </c>
      <c r="C160" s="6" t="s">
        <v>296</v>
      </c>
      <c r="D160" s="6" t="s">
        <v>297</v>
      </c>
      <c r="E160" s="7">
        <v>12</v>
      </c>
      <c r="F160" s="8">
        <v>16.399999999999999</v>
      </c>
      <c r="G160" s="9">
        <v>5667</v>
      </c>
      <c r="H160" s="9">
        <v>8466</v>
      </c>
      <c r="I160" s="6"/>
      <c r="J160" s="6"/>
      <c r="K160" s="6" t="s">
        <v>18</v>
      </c>
    </row>
    <row r="161" spans="1:11" ht="14.4" x14ac:dyDescent="0.3">
      <c r="A161" s="5" t="s">
        <v>14</v>
      </c>
      <c r="B161" s="6" t="s">
        <v>298</v>
      </c>
      <c r="C161" s="6" t="s">
        <v>299</v>
      </c>
      <c r="D161" s="6" t="s">
        <v>300</v>
      </c>
      <c r="E161" s="7">
        <v>12</v>
      </c>
      <c r="F161" s="8">
        <v>13.8</v>
      </c>
      <c r="G161" s="9">
        <v>5628</v>
      </c>
      <c r="H161" s="9">
        <v>7883</v>
      </c>
      <c r="I161" s="6"/>
      <c r="J161" s="6"/>
      <c r="K161" s="6" t="s">
        <v>18</v>
      </c>
    </row>
    <row r="162" spans="1:11" ht="14.4" x14ac:dyDescent="0.3">
      <c r="A162" s="5" t="s">
        <v>14</v>
      </c>
      <c r="B162" s="6" t="s">
        <v>301</v>
      </c>
      <c r="C162" s="6" t="s">
        <v>302</v>
      </c>
      <c r="D162" s="6" t="s">
        <v>303</v>
      </c>
      <c r="E162" s="7">
        <v>12</v>
      </c>
      <c r="F162" s="8">
        <v>16.2</v>
      </c>
      <c r="G162" s="9">
        <v>5588</v>
      </c>
      <c r="H162" s="9">
        <v>7937</v>
      </c>
      <c r="I162" s="6"/>
      <c r="J162" s="6"/>
      <c r="K162" s="6" t="s">
        <v>18</v>
      </c>
    </row>
    <row r="163" spans="1:11" ht="14.4" x14ac:dyDescent="0.3">
      <c r="A163" s="5" t="s">
        <v>14</v>
      </c>
      <c r="B163" s="6" t="s">
        <v>304</v>
      </c>
      <c r="C163" s="6" t="s">
        <v>235</v>
      </c>
      <c r="D163" s="6" t="s">
        <v>236</v>
      </c>
      <c r="E163" s="7">
        <v>12</v>
      </c>
      <c r="F163" s="8">
        <v>14.7</v>
      </c>
      <c r="G163" s="9">
        <v>5431</v>
      </c>
      <c r="H163" s="9">
        <v>8719</v>
      </c>
      <c r="I163" s="6"/>
      <c r="J163" s="6"/>
      <c r="K163" s="6" t="s">
        <v>18</v>
      </c>
    </row>
    <row r="164" spans="1:11" ht="14.4" x14ac:dyDescent="0.3">
      <c r="A164" s="5" t="s">
        <v>14</v>
      </c>
      <c r="B164" s="6" t="s">
        <v>305</v>
      </c>
      <c r="C164" s="6" t="s">
        <v>185</v>
      </c>
      <c r="D164" s="6" t="s">
        <v>186</v>
      </c>
      <c r="E164" s="7">
        <v>12</v>
      </c>
      <c r="F164" s="8">
        <v>6.4</v>
      </c>
      <c r="G164" s="9">
        <v>5407</v>
      </c>
      <c r="H164" s="9">
        <v>8757</v>
      </c>
      <c r="I164" s="6"/>
      <c r="J164" s="6"/>
      <c r="K164" s="6" t="s">
        <v>18</v>
      </c>
    </row>
    <row r="165" spans="1:11" ht="14.4" x14ac:dyDescent="0.3">
      <c r="A165" s="5" t="s">
        <v>14</v>
      </c>
      <c r="B165" s="6" t="s">
        <v>306</v>
      </c>
      <c r="C165" s="6" t="s">
        <v>307</v>
      </c>
      <c r="D165" s="6" t="s">
        <v>308</v>
      </c>
      <c r="E165" s="7">
        <v>12</v>
      </c>
      <c r="F165" s="8">
        <v>25</v>
      </c>
      <c r="G165" s="9">
        <v>5342</v>
      </c>
      <c r="H165" s="9">
        <v>8663</v>
      </c>
      <c r="I165" s="6"/>
      <c r="J165" s="6"/>
      <c r="K165" s="6" t="s">
        <v>18</v>
      </c>
    </row>
    <row r="166" spans="1:11" ht="14.4" x14ac:dyDescent="0.3">
      <c r="A166" s="5" t="s">
        <v>14</v>
      </c>
      <c r="B166" s="6" t="s">
        <v>309</v>
      </c>
      <c r="C166" s="6" t="s">
        <v>185</v>
      </c>
      <c r="D166" s="6" t="s">
        <v>186</v>
      </c>
      <c r="E166" s="7">
        <v>12</v>
      </c>
      <c r="F166" s="8">
        <v>3.8</v>
      </c>
      <c r="G166" s="9">
        <v>4900</v>
      </c>
      <c r="H166" s="9">
        <v>8709</v>
      </c>
      <c r="I166" s="6"/>
      <c r="J166" s="6"/>
      <c r="K166" s="6" t="s">
        <v>18</v>
      </c>
    </row>
    <row r="167" spans="1:11" ht="14.4" x14ac:dyDescent="0.3">
      <c r="A167" s="5" t="s">
        <v>14</v>
      </c>
      <c r="B167" s="6" t="s">
        <v>310</v>
      </c>
      <c r="C167" s="6" t="s">
        <v>311</v>
      </c>
      <c r="D167" s="6" t="s">
        <v>312</v>
      </c>
      <c r="E167" s="7">
        <v>12</v>
      </c>
      <c r="F167" s="8">
        <v>0.9</v>
      </c>
      <c r="G167" s="9">
        <v>4868</v>
      </c>
      <c r="H167" s="9">
        <v>8752</v>
      </c>
      <c r="I167" s="6"/>
      <c r="J167" s="6"/>
      <c r="K167" s="6" t="s">
        <v>18</v>
      </c>
    </row>
    <row r="168" spans="1:11" ht="14.4" x14ac:dyDescent="0.3">
      <c r="A168" s="5" t="s">
        <v>14</v>
      </c>
      <c r="B168" s="6" t="s">
        <v>313</v>
      </c>
      <c r="C168" s="6" t="s">
        <v>89</v>
      </c>
      <c r="D168" s="6" t="s">
        <v>90</v>
      </c>
      <c r="E168" s="7">
        <v>12</v>
      </c>
      <c r="F168" s="8">
        <v>5</v>
      </c>
      <c r="G168" s="9">
        <v>4761</v>
      </c>
      <c r="H168" s="9">
        <v>8377</v>
      </c>
      <c r="I168" s="6"/>
      <c r="J168" s="6"/>
      <c r="K168" s="6" t="s">
        <v>18</v>
      </c>
    </row>
    <row r="169" spans="1:11" ht="14.4" x14ac:dyDescent="0.3">
      <c r="A169" s="5" t="s">
        <v>14</v>
      </c>
      <c r="B169" s="6" t="s">
        <v>314</v>
      </c>
      <c r="C169" s="6" t="s">
        <v>315</v>
      </c>
      <c r="D169" s="6" t="s">
        <v>316</v>
      </c>
      <c r="E169" s="7">
        <v>12</v>
      </c>
      <c r="F169" s="8">
        <v>16.100000000000001</v>
      </c>
      <c r="G169" s="9">
        <v>4753</v>
      </c>
      <c r="H169" s="9">
        <v>8528</v>
      </c>
      <c r="I169" s="6"/>
      <c r="J169" s="6"/>
      <c r="K169" s="6" t="s">
        <v>18</v>
      </c>
    </row>
    <row r="170" spans="1:11" ht="14.4" x14ac:dyDescent="0.3">
      <c r="A170" s="5" t="s">
        <v>14</v>
      </c>
      <c r="B170" s="6" t="s">
        <v>317</v>
      </c>
      <c r="C170" s="6" t="s">
        <v>225</v>
      </c>
      <c r="D170" s="6" t="s">
        <v>226</v>
      </c>
      <c r="E170" s="7">
        <v>12</v>
      </c>
      <c r="F170" s="8">
        <v>10</v>
      </c>
      <c r="G170" s="9">
        <v>4677</v>
      </c>
      <c r="H170" s="9">
        <v>8662</v>
      </c>
      <c r="I170" s="6"/>
      <c r="J170" s="6"/>
      <c r="K170" s="6" t="s">
        <v>18</v>
      </c>
    </row>
    <row r="171" spans="1:11" ht="14.4" x14ac:dyDescent="0.3">
      <c r="A171" s="5" t="s">
        <v>14</v>
      </c>
      <c r="B171" s="6" t="s">
        <v>318</v>
      </c>
      <c r="C171" s="6" t="s">
        <v>95</v>
      </c>
      <c r="D171" s="6" t="s">
        <v>96</v>
      </c>
      <c r="E171" s="7">
        <v>12</v>
      </c>
      <c r="F171" s="8">
        <v>12.4</v>
      </c>
      <c r="G171" s="9">
        <v>4549</v>
      </c>
      <c r="H171" s="9">
        <v>8135</v>
      </c>
      <c r="I171" s="6"/>
      <c r="J171" s="6"/>
      <c r="K171" s="6" t="s">
        <v>18</v>
      </c>
    </row>
    <row r="172" spans="1:11" ht="14.4" x14ac:dyDescent="0.3">
      <c r="A172" s="5" t="s">
        <v>14</v>
      </c>
      <c r="B172" s="6" t="s">
        <v>319</v>
      </c>
      <c r="C172" s="6" t="s">
        <v>315</v>
      </c>
      <c r="D172" s="6" t="s">
        <v>316</v>
      </c>
      <c r="E172" s="7">
        <v>12</v>
      </c>
      <c r="F172" s="8">
        <v>13.1</v>
      </c>
      <c r="G172" s="9">
        <v>4523</v>
      </c>
      <c r="H172" s="9">
        <v>8728</v>
      </c>
      <c r="I172" s="6"/>
      <c r="J172" s="6"/>
      <c r="K172" s="6" t="s">
        <v>18</v>
      </c>
    </row>
    <row r="173" spans="1:11" ht="14.4" x14ac:dyDescent="0.3">
      <c r="A173" s="5" t="s">
        <v>14</v>
      </c>
      <c r="B173" s="6" t="s">
        <v>320</v>
      </c>
      <c r="C173" s="6" t="s">
        <v>159</v>
      </c>
      <c r="D173" s="6" t="s">
        <v>160</v>
      </c>
      <c r="E173" s="7">
        <v>12</v>
      </c>
      <c r="F173" s="8">
        <v>9.9</v>
      </c>
      <c r="G173" s="9">
        <v>4487</v>
      </c>
      <c r="H173" s="9">
        <v>8603</v>
      </c>
      <c r="I173" s="6"/>
      <c r="J173" s="6"/>
      <c r="K173" s="6" t="s">
        <v>18</v>
      </c>
    </row>
    <row r="174" spans="1:11" ht="14.4" x14ac:dyDescent="0.3">
      <c r="A174" s="5" t="s">
        <v>14</v>
      </c>
      <c r="B174" s="6" t="s">
        <v>321</v>
      </c>
      <c r="C174" s="6" t="s">
        <v>322</v>
      </c>
      <c r="D174" s="6" t="s">
        <v>323</v>
      </c>
      <c r="E174" s="7">
        <v>12</v>
      </c>
      <c r="F174" s="8">
        <v>12.3</v>
      </c>
      <c r="G174" s="9">
        <v>4225</v>
      </c>
      <c r="H174" s="9">
        <v>8754</v>
      </c>
      <c r="I174" s="6"/>
      <c r="J174" s="6"/>
      <c r="K174" s="6" t="s">
        <v>18</v>
      </c>
    </row>
    <row r="175" spans="1:11" ht="14.4" x14ac:dyDescent="0.3">
      <c r="A175" s="5" t="s">
        <v>14</v>
      </c>
      <c r="B175" s="6" t="s">
        <v>324</v>
      </c>
      <c r="C175" s="6" t="s">
        <v>325</v>
      </c>
      <c r="D175" s="6" t="s">
        <v>326</v>
      </c>
      <c r="E175" s="7">
        <v>12</v>
      </c>
      <c r="F175" s="8">
        <v>3.2</v>
      </c>
      <c r="G175" s="9">
        <v>3900</v>
      </c>
      <c r="H175" s="9">
        <v>8682</v>
      </c>
      <c r="I175" s="6"/>
      <c r="J175" s="6"/>
      <c r="K175" s="6" t="s">
        <v>18</v>
      </c>
    </row>
    <row r="176" spans="1:11" ht="14.4" x14ac:dyDescent="0.3">
      <c r="A176" s="5" t="s">
        <v>14</v>
      </c>
      <c r="B176" s="6" t="s">
        <v>327</v>
      </c>
      <c r="C176" s="6" t="s">
        <v>85</v>
      </c>
      <c r="D176" s="6" t="s">
        <v>86</v>
      </c>
      <c r="E176" s="7">
        <v>12</v>
      </c>
      <c r="F176" s="8">
        <v>9.6</v>
      </c>
      <c r="G176" s="9">
        <v>3681</v>
      </c>
      <c r="H176" s="9">
        <v>8336</v>
      </c>
      <c r="I176" s="6"/>
      <c r="J176" s="6"/>
      <c r="K176" s="6" t="s">
        <v>18</v>
      </c>
    </row>
    <row r="177" spans="1:11" ht="14.4" x14ac:dyDescent="0.3">
      <c r="A177" s="5" t="s">
        <v>14</v>
      </c>
      <c r="B177" s="6" t="s">
        <v>328</v>
      </c>
      <c r="C177" s="6" t="s">
        <v>85</v>
      </c>
      <c r="D177" s="6" t="s">
        <v>86</v>
      </c>
      <c r="E177" s="7">
        <v>12</v>
      </c>
      <c r="F177" s="8">
        <v>9.4</v>
      </c>
      <c r="G177" s="9">
        <v>3588</v>
      </c>
      <c r="H177" s="9">
        <v>8665</v>
      </c>
      <c r="I177" s="6"/>
      <c r="J177" s="6"/>
      <c r="K177" s="6" t="s">
        <v>18</v>
      </c>
    </row>
    <row r="178" spans="1:11" ht="14.4" x14ac:dyDescent="0.3">
      <c r="A178" s="5" t="s">
        <v>14</v>
      </c>
      <c r="B178" s="6" t="s">
        <v>329</v>
      </c>
      <c r="C178" s="6" t="s">
        <v>80</v>
      </c>
      <c r="D178" s="6" t="s">
        <v>81</v>
      </c>
      <c r="E178" s="7">
        <v>12</v>
      </c>
      <c r="F178" s="8">
        <v>11.3</v>
      </c>
      <c r="G178" s="9">
        <v>3588</v>
      </c>
      <c r="H178" s="9">
        <v>7987</v>
      </c>
      <c r="I178" s="6"/>
      <c r="J178" s="6"/>
      <c r="K178" s="6" t="s">
        <v>18</v>
      </c>
    </row>
    <row r="179" spans="1:11" ht="14.4" x14ac:dyDescent="0.3">
      <c r="A179" s="5" t="s">
        <v>14</v>
      </c>
      <c r="B179" s="6" t="s">
        <v>330</v>
      </c>
      <c r="C179" s="6" t="s">
        <v>85</v>
      </c>
      <c r="D179" s="6" t="s">
        <v>86</v>
      </c>
      <c r="E179" s="7">
        <v>12</v>
      </c>
      <c r="F179" s="8">
        <v>15.5</v>
      </c>
      <c r="G179" s="9">
        <v>3586</v>
      </c>
      <c r="H179" s="9">
        <v>8587</v>
      </c>
      <c r="I179" s="6"/>
      <c r="J179" s="6"/>
      <c r="K179" s="6" t="s">
        <v>18</v>
      </c>
    </row>
    <row r="180" spans="1:11" ht="14.4" x14ac:dyDescent="0.3">
      <c r="A180" s="5" t="s">
        <v>14</v>
      </c>
      <c r="B180" s="6" t="s">
        <v>331</v>
      </c>
      <c r="C180" s="6" t="s">
        <v>292</v>
      </c>
      <c r="D180" s="6" t="s">
        <v>293</v>
      </c>
      <c r="E180" s="7">
        <v>12</v>
      </c>
      <c r="F180" s="8">
        <v>8.3000000000000007</v>
      </c>
      <c r="G180" s="9">
        <v>3322</v>
      </c>
      <c r="H180" s="9">
        <v>8461</v>
      </c>
      <c r="I180" s="6"/>
      <c r="J180" s="6"/>
      <c r="K180" s="6" t="s">
        <v>18</v>
      </c>
    </row>
    <row r="181" spans="1:11" ht="14.4" x14ac:dyDescent="0.3">
      <c r="A181" s="5" t="s">
        <v>14</v>
      </c>
      <c r="B181" s="6" t="s">
        <v>332</v>
      </c>
      <c r="C181" s="6" t="s">
        <v>85</v>
      </c>
      <c r="D181" s="6" t="s">
        <v>86</v>
      </c>
      <c r="E181" s="7">
        <v>12</v>
      </c>
      <c r="F181" s="8">
        <v>8.6999999999999993</v>
      </c>
      <c r="G181" s="9">
        <v>3295</v>
      </c>
      <c r="H181" s="9">
        <v>7852</v>
      </c>
      <c r="I181" s="6"/>
      <c r="J181" s="6"/>
      <c r="K181" s="6" t="s">
        <v>18</v>
      </c>
    </row>
    <row r="182" spans="1:11" ht="14.4" x14ac:dyDescent="0.3">
      <c r="A182" s="5" t="s">
        <v>14</v>
      </c>
      <c r="B182" s="6" t="s">
        <v>333</v>
      </c>
      <c r="C182" s="6" t="s">
        <v>173</v>
      </c>
      <c r="D182" s="6" t="s">
        <v>174</v>
      </c>
      <c r="E182" s="7">
        <v>12</v>
      </c>
      <c r="F182" s="8">
        <v>6.6</v>
      </c>
      <c r="G182" s="9">
        <v>3265</v>
      </c>
      <c r="H182" s="9">
        <v>7911</v>
      </c>
      <c r="I182" s="6"/>
      <c r="J182" s="6"/>
      <c r="K182" s="6" t="s">
        <v>18</v>
      </c>
    </row>
    <row r="183" spans="1:11" ht="14.4" x14ac:dyDescent="0.3">
      <c r="A183" s="5" t="s">
        <v>14</v>
      </c>
      <c r="B183" s="6" t="s">
        <v>334</v>
      </c>
      <c r="C183" s="6" t="s">
        <v>278</v>
      </c>
      <c r="D183" s="6" t="s">
        <v>279</v>
      </c>
      <c r="E183" s="7">
        <v>12</v>
      </c>
      <c r="F183" s="8">
        <v>6.9</v>
      </c>
      <c r="G183" s="9">
        <v>3139</v>
      </c>
      <c r="H183" s="9">
        <v>8734</v>
      </c>
      <c r="I183" s="6"/>
      <c r="J183" s="6"/>
      <c r="K183" s="6" t="s">
        <v>18</v>
      </c>
    </row>
    <row r="184" spans="1:11" ht="14.4" x14ac:dyDescent="0.3">
      <c r="A184" s="5" t="s">
        <v>14</v>
      </c>
      <c r="B184" s="6" t="s">
        <v>335</v>
      </c>
      <c r="C184" s="6" t="s">
        <v>185</v>
      </c>
      <c r="D184" s="6" t="s">
        <v>186</v>
      </c>
      <c r="E184" s="7">
        <v>12</v>
      </c>
      <c r="F184" s="8">
        <v>6.1</v>
      </c>
      <c r="G184" s="9">
        <v>3038</v>
      </c>
      <c r="H184" s="9">
        <v>8754</v>
      </c>
      <c r="I184" s="6"/>
      <c r="J184" s="6"/>
      <c r="K184" s="6" t="s">
        <v>18</v>
      </c>
    </row>
    <row r="185" spans="1:11" ht="14.4" x14ac:dyDescent="0.3">
      <c r="A185" s="5" t="s">
        <v>14</v>
      </c>
      <c r="B185" s="6" t="s">
        <v>336</v>
      </c>
      <c r="C185" s="6" t="s">
        <v>299</v>
      </c>
      <c r="D185" s="6" t="s">
        <v>300</v>
      </c>
      <c r="E185" s="7">
        <v>12</v>
      </c>
      <c r="F185" s="8">
        <v>6.9</v>
      </c>
      <c r="G185" s="9">
        <v>2971</v>
      </c>
      <c r="H185" s="9">
        <v>7827</v>
      </c>
      <c r="I185" s="6"/>
      <c r="J185" s="6"/>
      <c r="K185" s="6" t="s">
        <v>18</v>
      </c>
    </row>
    <row r="186" spans="1:11" ht="14.4" x14ac:dyDescent="0.3">
      <c r="A186" s="5" t="s">
        <v>14</v>
      </c>
      <c r="B186" s="6" t="s">
        <v>337</v>
      </c>
      <c r="C186" s="6" t="s">
        <v>325</v>
      </c>
      <c r="D186" s="6" t="s">
        <v>326</v>
      </c>
      <c r="E186" s="7">
        <v>12</v>
      </c>
      <c r="F186" s="8">
        <v>9.5</v>
      </c>
      <c r="G186" s="9">
        <v>2840</v>
      </c>
      <c r="H186" s="9">
        <v>8722</v>
      </c>
      <c r="I186" s="6"/>
      <c r="J186" s="6"/>
      <c r="K186" s="6" t="s">
        <v>18</v>
      </c>
    </row>
    <row r="187" spans="1:11" ht="14.4" x14ac:dyDescent="0.3">
      <c r="A187" s="5" t="s">
        <v>14</v>
      </c>
      <c r="B187" s="6" t="s">
        <v>338</v>
      </c>
      <c r="C187" s="6" t="s">
        <v>100</v>
      </c>
      <c r="D187" s="6" t="s">
        <v>101</v>
      </c>
      <c r="E187" s="7">
        <v>12</v>
      </c>
      <c r="F187" s="8">
        <v>1.8</v>
      </c>
      <c r="G187" s="9">
        <v>2822</v>
      </c>
      <c r="H187" s="9">
        <v>7698</v>
      </c>
      <c r="I187" s="6"/>
      <c r="J187" s="6"/>
      <c r="K187" s="6" t="s">
        <v>18</v>
      </c>
    </row>
    <row r="188" spans="1:11" ht="14.4" x14ac:dyDescent="0.3">
      <c r="A188" s="5" t="s">
        <v>14</v>
      </c>
      <c r="B188" s="6" t="s">
        <v>339</v>
      </c>
      <c r="C188" s="6" t="s">
        <v>272</v>
      </c>
      <c r="D188" s="6" t="s">
        <v>273</v>
      </c>
      <c r="E188" s="7">
        <v>12</v>
      </c>
      <c r="F188" s="8">
        <v>8.1999999999999993</v>
      </c>
      <c r="G188" s="9">
        <v>2715</v>
      </c>
      <c r="H188" s="9">
        <v>8496</v>
      </c>
      <c r="I188" s="6"/>
      <c r="J188" s="6"/>
      <c r="K188" s="6" t="s">
        <v>18</v>
      </c>
    </row>
    <row r="189" spans="1:11" ht="14.4" x14ac:dyDescent="0.3">
      <c r="A189" s="5" t="s">
        <v>14</v>
      </c>
      <c r="B189" s="6" t="s">
        <v>340</v>
      </c>
      <c r="C189" s="6" t="s">
        <v>85</v>
      </c>
      <c r="D189" s="6" t="s">
        <v>86</v>
      </c>
      <c r="E189" s="7">
        <v>12</v>
      </c>
      <c r="F189" s="8">
        <v>6.9</v>
      </c>
      <c r="G189" s="9">
        <v>2698</v>
      </c>
      <c r="H189" s="9">
        <v>8316</v>
      </c>
      <c r="I189" s="6"/>
      <c r="J189" s="6"/>
      <c r="K189" s="6" t="s">
        <v>18</v>
      </c>
    </row>
    <row r="190" spans="1:11" ht="14.4" x14ac:dyDescent="0.3">
      <c r="A190" s="5" t="s">
        <v>14</v>
      </c>
      <c r="B190" s="6" t="s">
        <v>341</v>
      </c>
      <c r="C190" s="6" t="s">
        <v>322</v>
      </c>
      <c r="D190" s="6" t="s">
        <v>323</v>
      </c>
      <c r="E190" s="7">
        <v>12</v>
      </c>
      <c r="F190" s="8">
        <v>4.7</v>
      </c>
      <c r="G190" s="9">
        <v>2617</v>
      </c>
      <c r="H190" s="9">
        <v>8748</v>
      </c>
      <c r="I190" s="6"/>
      <c r="J190" s="6"/>
      <c r="K190" s="6" t="s">
        <v>18</v>
      </c>
    </row>
    <row r="191" spans="1:11" ht="14.4" x14ac:dyDescent="0.3">
      <c r="A191" s="5" t="s">
        <v>14</v>
      </c>
      <c r="B191" s="6" t="s">
        <v>342</v>
      </c>
      <c r="C191" s="6" t="s">
        <v>135</v>
      </c>
      <c r="D191" s="6" t="s">
        <v>136</v>
      </c>
      <c r="E191" s="7">
        <v>12</v>
      </c>
      <c r="F191" s="8">
        <v>7.5</v>
      </c>
      <c r="G191" s="9">
        <v>2601</v>
      </c>
      <c r="H191" s="9">
        <v>7019</v>
      </c>
      <c r="I191" s="6"/>
      <c r="J191" s="6"/>
      <c r="K191" s="6" t="s">
        <v>18</v>
      </c>
    </row>
    <row r="192" spans="1:11" ht="14.4" x14ac:dyDescent="0.3">
      <c r="A192" s="5" t="s">
        <v>14</v>
      </c>
      <c r="B192" s="6" t="s">
        <v>343</v>
      </c>
      <c r="C192" s="6" t="s">
        <v>185</v>
      </c>
      <c r="D192" s="6" t="s">
        <v>186</v>
      </c>
      <c r="E192" s="7">
        <v>12</v>
      </c>
      <c r="F192" s="8">
        <v>6.4</v>
      </c>
      <c r="G192" s="9">
        <v>2596</v>
      </c>
      <c r="H192" s="9">
        <v>8751</v>
      </c>
      <c r="I192" s="6"/>
      <c r="J192" s="6"/>
      <c r="K192" s="6" t="s">
        <v>18</v>
      </c>
    </row>
    <row r="193" spans="1:11" ht="14.4" x14ac:dyDescent="0.3">
      <c r="A193" s="5" t="s">
        <v>14</v>
      </c>
      <c r="B193" s="6" t="s">
        <v>344</v>
      </c>
      <c r="C193" s="6" t="s">
        <v>85</v>
      </c>
      <c r="D193" s="6" t="s">
        <v>86</v>
      </c>
      <c r="E193" s="7">
        <v>12</v>
      </c>
      <c r="F193" s="8">
        <v>6.7</v>
      </c>
      <c r="G193" s="9">
        <v>2503</v>
      </c>
      <c r="H193" s="9">
        <v>8259</v>
      </c>
      <c r="I193" s="6"/>
      <c r="J193" s="6"/>
      <c r="K193" s="6" t="s">
        <v>18</v>
      </c>
    </row>
    <row r="194" spans="1:11" ht="14.4" x14ac:dyDescent="0.3">
      <c r="A194" s="5" t="s">
        <v>14</v>
      </c>
      <c r="B194" s="6" t="s">
        <v>345</v>
      </c>
      <c r="C194" s="6" t="s">
        <v>135</v>
      </c>
      <c r="D194" s="6" t="s">
        <v>136</v>
      </c>
      <c r="E194" s="7">
        <v>12</v>
      </c>
      <c r="F194" s="8">
        <v>5.9</v>
      </c>
      <c r="G194" s="9">
        <v>2492</v>
      </c>
      <c r="H194" s="9">
        <v>6757</v>
      </c>
      <c r="I194" s="6"/>
      <c r="J194" s="6"/>
      <c r="K194" s="6" t="s">
        <v>18</v>
      </c>
    </row>
    <row r="195" spans="1:11" ht="14.4" x14ac:dyDescent="0.3">
      <c r="A195" s="5" t="s">
        <v>14</v>
      </c>
      <c r="B195" s="6" t="s">
        <v>346</v>
      </c>
      <c r="C195" s="6" t="s">
        <v>311</v>
      </c>
      <c r="D195" s="6" t="s">
        <v>312</v>
      </c>
      <c r="E195" s="7">
        <v>12</v>
      </c>
      <c r="F195" s="8">
        <v>0.4</v>
      </c>
      <c r="G195" s="9">
        <v>2455</v>
      </c>
      <c r="H195" s="9">
        <v>8740</v>
      </c>
      <c r="I195" s="6"/>
      <c r="J195" s="6"/>
      <c r="K195" s="6" t="s">
        <v>18</v>
      </c>
    </row>
    <row r="196" spans="1:11" ht="14.4" x14ac:dyDescent="0.3">
      <c r="A196" s="5" t="s">
        <v>14</v>
      </c>
      <c r="B196" s="6" t="s">
        <v>347</v>
      </c>
      <c r="C196" s="6" t="s">
        <v>348</v>
      </c>
      <c r="D196" s="6" t="s">
        <v>349</v>
      </c>
      <c r="E196" s="7">
        <v>12</v>
      </c>
      <c r="F196" s="8">
        <v>1.5</v>
      </c>
      <c r="G196" s="9">
        <v>2398</v>
      </c>
      <c r="H196" s="9">
        <v>8520</v>
      </c>
      <c r="I196" s="6"/>
      <c r="J196" s="6"/>
      <c r="K196" s="6" t="s">
        <v>18</v>
      </c>
    </row>
    <row r="197" spans="1:11" ht="14.4" x14ac:dyDescent="0.3">
      <c r="A197" s="5" t="s">
        <v>14</v>
      </c>
      <c r="B197" s="6" t="s">
        <v>350</v>
      </c>
      <c r="C197" s="6" t="s">
        <v>275</v>
      </c>
      <c r="D197" s="6" t="s">
        <v>276</v>
      </c>
      <c r="E197" s="7">
        <v>12</v>
      </c>
      <c r="F197" s="8">
        <v>6.5</v>
      </c>
      <c r="G197" s="9">
        <v>2390</v>
      </c>
      <c r="H197" s="9">
        <v>8743</v>
      </c>
      <c r="I197" s="6"/>
      <c r="J197" s="6"/>
      <c r="K197" s="6" t="s">
        <v>18</v>
      </c>
    </row>
    <row r="198" spans="1:11" ht="14.4" x14ac:dyDescent="0.3">
      <c r="A198" s="5" t="s">
        <v>14</v>
      </c>
      <c r="B198" s="6" t="s">
        <v>351</v>
      </c>
      <c r="C198" s="6" t="s">
        <v>352</v>
      </c>
      <c r="D198" s="6" t="s">
        <v>353</v>
      </c>
      <c r="E198" s="7">
        <v>12</v>
      </c>
      <c r="F198" s="8">
        <v>6.1</v>
      </c>
      <c r="G198" s="9">
        <v>2291</v>
      </c>
      <c r="H198" s="9">
        <v>8680</v>
      </c>
      <c r="I198" s="6"/>
      <c r="J198" s="6"/>
      <c r="K198" s="6" t="s">
        <v>18</v>
      </c>
    </row>
    <row r="199" spans="1:11" ht="14.4" x14ac:dyDescent="0.3">
      <c r="A199" s="5" t="s">
        <v>14</v>
      </c>
      <c r="B199" s="6" t="s">
        <v>354</v>
      </c>
      <c r="C199" s="6" t="s">
        <v>272</v>
      </c>
      <c r="D199" s="6" t="s">
        <v>273</v>
      </c>
      <c r="E199" s="7">
        <v>12</v>
      </c>
      <c r="F199" s="8">
        <v>5.2</v>
      </c>
      <c r="G199" s="9">
        <v>2112</v>
      </c>
      <c r="H199" s="9">
        <v>8760</v>
      </c>
      <c r="I199" s="6"/>
      <c r="J199" s="6"/>
      <c r="K199" s="6" t="s">
        <v>18</v>
      </c>
    </row>
    <row r="200" spans="1:11" ht="14.4" x14ac:dyDescent="0.3">
      <c r="A200" s="5" t="s">
        <v>14</v>
      </c>
      <c r="B200" s="6" t="s">
        <v>355</v>
      </c>
      <c r="C200" s="6" t="s">
        <v>80</v>
      </c>
      <c r="D200" s="6" t="s">
        <v>81</v>
      </c>
      <c r="E200" s="7">
        <v>12</v>
      </c>
      <c r="F200" s="8">
        <v>10.7</v>
      </c>
      <c r="G200" s="9">
        <v>2067</v>
      </c>
      <c r="H200" s="9">
        <v>8742</v>
      </c>
      <c r="I200" s="6"/>
      <c r="J200" s="6"/>
      <c r="K200" s="6" t="s">
        <v>18</v>
      </c>
    </row>
    <row r="201" spans="1:11" ht="14.4" x14ac:dyDescent="0.3">
      <c r="A201" s="5" t="s">
        <v>14</v>
      </c>
      <c r="B201" s="6" t="s">
        <v>356</v>
      </c>
      <c r="C201" s="6" t="s">
        <v>299</v>
      </c>
      <c r="D201" s="6" t="s">
        <v>300</v>
      </c>
      <c r="E201" s="7">
        <v>12</v>
      </c>
      <c r="F201" s="8">
        <v>7.2</v>
      </c>
      <c r="G201" s="9">
        <v>1702</v>
      </c>
      <c r="H201" s="9">
        <v>8732</v>
      </c>
      <c r="I201" s="6"/>
      <c r="J201" s="6"/>
      <c r="K201" s="6" t="s">
        <v>18</v>
      </c>
    </row>
    <row r="202" spans="1:11" ht="14.4" x14ac:dyDescent="0.3">
      <c r="A202" s="5" t="s">
        <v>14</v>
      </c>
      <c r="B202" s="6" t="s">
        <v>357</v>
      </c>
      <c r="C202" s="6" t="s">
        <v>275</v>
      </c>
      <c r="D202" s="6" t="s">
        <v>276</v>
      </c>
      <c r="E202" s="7">
        <v>12</v>
      </c>
      <c r="F202" s="8">
        <v>3.4</v>
      </c>
      <c r="G202" s="9">
        <v>1650</v>
      </c>
      <c r="H202" s="9">
        <v>8480</v>
      </c>
      <c r="I202" s="6"/>
      <c r="J202" s="6"/>
      <c r="K202" s="6" t="s">
        <v>18</v>
      </c>
    </row>
    <row r="203" spans="1:11" ht="14.4" x14ac:dyDescent="0.3">
      <c r="A203" s="5" t="s">
        <v>14</v>
      </c>
      <c r="B203" s="6" t="s">
        <v>358</v>
      </c>
      <c r="C203" s="6" t="s">
        <v>352</v>
      </c>
      <c r="D203" s="6" t="s">
        <v>353</v>
      </c>
      <c r="E203" s="7">
        <v>12</v>
      </c>
      <c r="F203" s="8">
        <v>3.6</v>
      </c>
      <c r="G203" s="9">
        <v>1511</v>
      </c>
      <c r="H203" s="9">
        <v>8568</v>
      </c>
      <c r="I203" s="6"/>
      <c r="J203" s="6"/>
      <c r="K203" s="6" t="s">
        <v>18</v>
      </c>
    </row>
    <row r="204" spans="1:11" ht="14.4" x14ac:dyDescent="0.3">
      <c r="A204" s="5" t="s">
        <v>14</v>
      </c>
      <c r="B204" s="6" t="s">
        <v>359</v>
      </c>
      <c r="C204" s="6" t="s">
        <v>85</v>
      </c>
      <c r="D204" s="6" t="s">
        <v>86</v>
      </c>
      <c r="E204" s="7">
        <v>12</v>
      </c>
      <c r="F204" s="8">
        <v>5.6</v>
      </c>
      <c r="G204" s="9">
        <v>1475</v>
      </c>
      <c r="H204" s="9">
        <v>8624</v>
      </c>
      <c r="I204" s="6"/>
      <c r="J204" s="6"/>
      <c r="K204" s="6" t="s">
        <v>18</v>
      </c>
    </row>
    <row r="205" spans="1:11" ht="14.4" x14ac:dyDescent="0.3">
      <c r="A205" s="10" t="s">
        <v>360</v>
      </c>
      <c r="B205" s="6" t="s">
        <v>361</v>
      </c>
      <c r="C205" s="6" t="s">
        <v>362</v>
      </c>
      <c r="D205" s="6" t="s">
        <v>363</v>
      </c>
      <c r="E205" s="7">
        <v>10</v>
      </c>
      <c r="F205" s="8">
        <v>106.9</v>
      </c>
      <c r="G205" s="9">
        <v>52366</v>
      </c>
      <c r="H205" s="9">
        <v>6842</v>
      </c>
      <c r="I205" s="6"/>
      <c r="J205" s="6" t="s">
        <v>364</v>
      </c>
      <c r="K205" s="6" t="s">
        <v>365</v>
      </c>
    </row>
    <row r="206" spans="1:11" ht="14.4" x14ac:dyDescent="0.3">
      <c r="A206" s="10" t="s">
        <v>360</v>
      </c>
      <c r="B206" s="6" t="s">
        <v>366</v>
      </c>
      <c r="C206" s="6" t="s">
        <v>367</v>
      </c>
      <c r="D206" s="6" t="s">
        <v>368</v>
      </c>
      <c r="E206" s="7">
        <v>10</v>
      </c>
      <c r="F206" s="8">
        <v>164</v>
      </c>
      <c r="G206" s="9">
        <v>50727</v>
      </c>
      <c r="H206" s="9">
        <v>7137</v>
      </c>
      <c r="I206" s="6"/>
      <c r="J206" s="6" t="s">
        <v>364</v>
      </c>
      <c r="K206" s="6" t="s">
        <v>365</v>
      </c>
    </row>
    <row r="207" spans="1:11" ht="14.4" x14ac:dyDescent="0.3">
      <c r="A207" s="10" t="s">
        <v>360</v>
      </c>
      <c r="B207" s="6" t="s">
        <v>369</v>
      </c>
      <c r="C207" s="6" t="s">
        <v>362</v>
      </c>
      <c r="D207" s="6" t="s">
        <v>363</v>
      </c>
      <c r="E207" s="7">
        <v>10</v>
      </c>
      <c r="F207" s="8">
        <v>85.5</v>
      </c>
      <c r="G207" s="9">
        <v>34449</v>
      </c>
      <c r="H207" s="9">
        <v>7004</v>
      </c>
      <c r="I207" s="6"/>
      <c r="J207" s="6" t="s">
        <v>364</v>
      </c>
      <c r="K207" s="6" t="s">
        <v>365</v>
      </c>
    </row>
    <row r="208" spans="1:11" ht="14.4" x14ac:dyDescent="0.3">
      <c r="A208" s="10" t="s">
        <v>360</v>
      </c>
      <c r="B208" s="6" t="s">
        <v>370</v>
      </c>
      <c r="C208" s="6" t="s">
        <v>371</v>
      </c>
      <c r="D208" s="6" t="s">
        <v>372</v>
      </c>
      <c r="E208" s="7">
        <v>10</v>
      </c>
      <c r="F208" s="8">
        <v>38.299999999999997</v>
      </c>
      <c r="G208" s="9">
        <v>15774</v>
      </c>
      <c r="H208" s="9">
        <v>6861</v>
      </c>
      <c r="I208" s="6"/>
      <c r="J208" s="6" t="s">
        <v>364</v>
      </c>
      <c r="K208" s="6" t="s">
        <v>365</v>
      </c>
    </row>
    <row r="209" spans="1:11" ht="14.4" x14ac:dyDescent="0.3">
      <c r="A209" s="10" t="s">
        <v>360</v>
      </c>
      <c r="B209" s="6" t="s">
        <v>373</v>
      </c>
      <c r="C209" s="6" t="s">
        <v>371</v>
      </c>
      <c r="D209" s="6" t="s">
        <v>372</v>
      </c>
      <c r="E209" s="7">
        <v>10</v>
      </c>
      <c r="F209" s="8">
        <v>27.8</v>
      </c>
      <c r="G209" s="9">
        <v>11236</v>
      </c>
      <c r="H209" s="9">
        <v>6880</v>
      </c>
      <c r="I209" s="6"/>
      <c r="J209" s="6" t="s">
        <v>364</v>
      </c>
      <c r="K209" s="6" t="s">
        <v>365</v>
      </c>
    </row>
    <row r="210" spans="1:11" ht="14.4" x14ac:dyDescent="0.3">
      <c r="A210" s="10" t="s">
        <v>360</v>
      </c>
      <c r="B210" s="6" t="s">
        <v>374</v>
      </c>
      <c r="C210" s="6" t="s">
        <v>375</v>
      </c>
      <c r="D210" s="6" t="s">
        <v>376</v>
      </c>
      <c r="E210" s="7">
        <v>11</v>
      </c>
      <c r="F210" s="8">
        <v>30.4</v>
      </c>
      <c r="G210" s="9">
        <v>10510</v>
      </c>
      <c r="H210" s="9">
        <v>7716</v>
      </c>
      <c r="I210" s="6"/>
      <c r="J210" s="6" t="s">
        <v>377</v>
      </c>
      <c r="K210" s="6" t="s">
        <v>378</v>
      </c>
    </row>
    <row r="211" spans="1:11" ht="14.4" x14ac:dyDescent="0.3">
      <c r="A211" s="10" t="s">
        <v>360</v>
      </c>
      <c r="B211" s="6" t="s">
        <v>379</v>
      </c>
      <c r="C211" s="6" t="s">
        <v>169</v>
      </c>
      <c r="D211" s="6" t="s">
        <v>170</v>
      </c>
      <c r="E211" s="7">
        <v>11</v>
      </c>
      <c r="F211" s="8">
        <v>23.3</v>
      </c>
      <c r="G211" s="9">
        <v>7501</v>
      </c>
      <c r="H211" s="9">
        <v>8124</v>
      </c>
      <c r="I211" s="6"/>
      <c r="J211" s="6" t="s">
        <v>377</v>
      </c>
      <c r="K211" s="6" t="s">
        <v>378</v>
      </c>
    </row>
    <row r="212" spans="1:11" ht="14.4" x14ac:dyDescent="0.3">
      <c r="A212" s="10" t="s">
        <v>360</v>
      </c>
      <c r="B212" s="6" t="s">
        <v>380</v>
      </c>
      <c r="C212" s="6" t="s">
        <v>266</v>
      </c>
      <c r="D212" s="6" t="s">
        <v>267</v>
      </c>
      <c r="E212" s="7">
        <v>11</v>
      </c>
      <c r="F212" s="8">
        <v>7.7</v>
      </c>
      <c r="G212" s="9">
        <v>5907</v>
      </c>
      <c r="H212" s="9">
        <v>8065</v>
      </c>
      <c r="I212" s="6"/>
      <c r="J212" s="6" t="s">
        <v>377</v>
      </c>
      <c r="K212" s="6" t="s">
        <v>378</v>
      </c>
    </row>
    <row r="213" spans="1:11" ht="14.4" x14ac:dyDescent="0.3">
      <c r="A213" s="10" t="s">
        <v>360</v>
      </c>
      <c r="B213" s="6" t="s">
        <v>381</v>
      </c>
      <c r="C213" s="6" t="s">
        <v>68</v>
      </c>
      <c r="D213" s="6" t="s">
        <v>69</v>
      </c>
      <c r="E213" s="7">
        <v>11</v>
      </c>
      <c r="F213" s="8">
        <v>14.6</v>
      </c>
      <c r="G213" s="9">
        <v>5246</v>
      </c>
      <c r="H213" s="9">
        <v>7232</v>
      </c>
      <c r="I213" s="6"/>
      <c r="J213" s="6" t="s">
        <v>377</v>
      </c>
      <c r="K213" s="6" t="s">
        <v>378</v>
      </c>
    </row>
    <row r="214" spans="1:11" ht="14.4" x14ac:dyDescent="0.3">
      <c r="A214" s="10" t="s">
        <v>360</v>
      </c>
      <c r="B214" s="6" t="s">
        <v>382</v>
      </c>
      <c r="C214" s="6" t="s">
        <v>315</v>
      </c>
      <c r="D214" s="6" t="s">
        <v>316</v>
      </c>
      <c r="E214" s="7">
        <v>11</v>
      </c>
      <c r="F214" s="8">
        <v>9.1999999999999993</v>
      </c>
      <c r="G214" s="9">
        <v>4779</v>
      </c>
      <c r="H214" s="9">
        <v>8061</v>
      </c>
      <c r="I214" s="6"/>
      <c r="J214" s="6" t="s">
        <v>377</v>
      </c>
      <c r="K214" s="6" t="s">
        <v>378</v>
      </c>
    </row>
    <row r="215" spans="1:11" ht="14.4" x14ac:dyDescent="0.3">
      <c r="A215" s="10" t="s">
        <v>360</v>
      </c>
      <c r="B215" s="6" t="s">
        <v>383</v>
      </c>
      <c r="C215" s="6" t="s">
        <v>242</v>
      </c>
      <c r="D215" s="6" t="s">
        <v>243</v>
      </c>
      <c r="E215" s="7">
        <v>11</v>
      </c>
      <c r="F215" s="8">
        <v>7.2</v>
      </c>
      <c r="G215" s="9">
        <v>2974</v>
      </c>
      <c r="H215" s="9">
        <v>7756</v>
      </c>
      <c r="I215" s="6"/>
      <c r="J215" s="6" t="s">
        <v>377</v>
      </c>
      <c r="K215" s="6" t="s">
        <v>378</v>
      </c>
    </row>
    <row r="216" spans="1:11" ht="14.4" x14ac:dyDescent="0.3">
      <c r="A216" s="11" t="s">
        <v>384</v>
      </c>
      <c r="B216" s="6" t="s">
        <v>385</v>
      </c>
      <c r="C216" s="6" t="s">
        <v>386</v>
      </c>
      <c r="D216" s="6" t="s">
        <v>387</v>
      </c>
      <c r="E216" s="7">
        <v>5</v>
      </c>
      <c r="F216" s="8">
        <v>272</v>
      </c>
      <c r="G216" s="9">
        <v>78009</v>
      </c>
      <c r="H216" s="9">
        <v>5034</v>
      </c>
      <c r="I216" s="6" t="s">
        <v>388</v>
      </c>
      <c r="J216" s="6" t="s">
        <v>389</v>
      </c>
      <c r="K216" s="6" t="s">
        <v>390</v>
      </c>
    </row>
    <row r="217" spans="1:11" ht="14.4" x14ac:dyDescent="0.3">
      <c r="A217" s="11" t="s">
        <v>384</v>
      </c>
      <c r="B217" s="6" t="s">
        <v>391</v>
      </c>
      <c r="C217" s="6" t="s">
        <v>392</v>
      </c>
      <c r="D217" s="6" t="s">
        <v>393</v>
      </c>
      <c r="E217" s="7">
        <v>5</v>
      </c>
      <c r="F217" s="8">
        <v>69.099999999999994</v>
      </c>
      <c r="G217" s="9">
        <v>25688</v>
      </c>
      <c r="H217" s="9">
        <v>7949</v>
      </c>
      <c r="I217" s="6" t="s">
        <v>388</v>
      </c>
      <c r="J217" s="6" t="s">
        <v>394</v>
      </c>
      <c r="K217" s="6" t="s">
        <v>390</v>
      </c>
    </row>
    <row r="218" spans="1:11" ht="14.4" x14ac:dyDescent="0.3">
      <c r="A218" s="11" t="s">
        <v>384</v>
      </c>
      <c r="B218" s="6" t="s">
        <v>395</v>
      </c>
      <c r="C218" s="6" t="s">
        <v>392</v>
      </c>
      <c r="D218" s="6" t="s">
        <v>393</v>
      </c>
      <c r="E218" s="7">
        <v>5</v>
      </c>
      <c r="F218" s="8">
        <v>85.4</v>
      </c>
      <c r="G218" s="9">
        <v>24820</v>
      </c>
      <c r="H218" s="9">
        <v>7578</v>
      </c>
      <c r="I218" s="6" t="s">
        <v>388</v>
      </c>
      <c r="J218" s="6" t="s">
        <v>394</v>
      </c>
      <c r="K218" s="6" t="s">
        <v>390</v>
      </c>
    </row>
    <row r="219" spans="1:11" ht="14.4" x14ac:dyDescent="0.3">
      <c r="A219" s="11" t="s">
        <v>384</v>
      </c>
      <c r="B219" s="6" t="s">
        <v>396</v>
      </c>
      <c r="C219" s="6" t="s">
        <v>397</v>
      </c>
      <c r="D219" s="6" t="s">
        <v>398</v>
      </c>
      <c r="E219" s="7">
        <v>9</v>
      </c>
      <c r="F219" s="8">
        <v>62.4</v>
      </c>
      <c r="G219" s="9">
        <v>16823</v>
      </c>
      <c r="H219" s="9">
        <v>6640</v>
      </c>
      <c r="I219" s="6" t="s">
        <v>377</v>
      </c>
      <c r="J219" s="6" t="s">
        <v>399</v>
      </c>
      <c r="K219" s="6" t="s">
        <v>400</v>
      </c>
    </row>
    <row r="220" spans="1:11" ht="14.4" x14ac:dyDescent="0.3">
      <c r="A220" s="11" t="s">
        <v>384</v>
      </c>
      <c r="B220" s="6" t="s">
        <v>401</v>
      </c>
      <c r="C220" s="6" t="s">
        <v>362</v>
      </c>
      <c r="D220" s="6" t="s">
        <v>363</v>
      </c>
      <c r="E220" s="7">
        <v>3</v>
      </c>
      <c r="F220" s="8">
        <v>79.400000000000006</v>
      </c>
      <c r="G220" s="9">
        <v>12477</v>
      </c>
      <c r="H220" s="9">
        <v>4124</v>
      </c>
      <c r="I220" s="6" t="s">
        <v>394</v>
      </c>
      <c r="J220" s="6" t="s">
        <v>402</v>
      </c>
      <c r="K220" s="6" t="s">
        <v>403</v>
      </c>
    </row>
    <row r="221" spans="1:11" ht="14.4" x14ac:dyDescent="0.3">
      <c r="A221" s="11" t="s">
        <v>384</v>
      </c>
      <c r="B221" s="6" t="s">
        <v>404</v>
      </c>
      <c r="C221" s="6" t="s">
        <v>392</v>
      </c>
      <c r="D221" s="6" t="s">
        <v>393</v>
      </c>
      <c r="E221" s="7">
        <v>5</v>
      </c>
      <c r="F221" s="8">
        <v>29.1</v>
      </c>
      <c r="G221" s="9">
        <v>12022</v>
      </c>
      <c r="H221" s="9">
        <v>7962</v>
      </c>
      <c r="I221" s="6" t="s">
        <v>388</v>
      </c>
      <c r="J221" s="6" t="s">
        <v>394</v>
      </c>
      <c r="K221" s="6" t="s">
        <v>390</v>
      </c>
    </row>
    <row r="222" spans="1:11" ht="14.4" x14ac:dyDescent="0.3">
      <c r="A222" s="11" t="s">
        <v>384</v>
      </c>
      <c r="B222" s="6" t="s">
        <v>405</v>
      </c>
      <c r="C222" s="6" t="s">
        <v>406</v>
      </c>
      <c r="D222" s="6" t="s">
        <v>407</v>
      </c>
      <c r="E222" s="7">
        <v>2</v>
      </c>
      <c r="F222" s="8">
        <v>113.7</v>
      </c>
      <c r="G222" s="9">
        <v>11114</v>
      </c>
      <c r="H222" s="9">
        <v>2187</v>
      </c>
      <c r="I222" s="6" t="s">
        <v>399</v>
      </c>
      <c r="J222" s="6" t="s">
        <v>408</v>
      </c>
      <c r="K222" s="6" t="s">
        <v>409</v>
      </c>
    </row>
    <row r="223" spans="1:11" ht="14.4" x14ac:dyDescent="0.3">
      <c r="A223" s="11" t="s">
        <v>384</v>
      </c>
      <c r="B223" s="6" t="s">
        <v>410</v>
      </c>
      <c r="C223" s="6" t="s">
        <v>55</v>
      </c>
      <c r="D223" s="6" t="s">
        <v>56</v>
      </c>
      <c r="E223" s="7">
        <v>3</v>
      </c>
      <c r="F223" s="8">
        <v>5.2</v>
      </c>
      <c r="G223" s="9">
        <v>4461</v>
      </c>
      <c r="H223" s="9">
        <v>5085</v>
      </c>
      <c r="I223" s="6" t="s">
        <v>388</v>
      </c>
      <c r="J223" s="6" t="s">
        <v>411</v>
      </c>
      <c r="K223" s="6" t="s">
        <v>403</v>
      </c>
    </row>
    <row r="224" spans="1:11" ht="14.4" x14ac:dyDescent="0.3">
      <c r="A224" s="11" t="s">
        <v>384</v>
      </c>
      <c r="B224" s="6" t="s">
        <v>412</v>
      </c>
      <c r="C224" s="6" t="s">
        <v>275</v>
      </c>
      <c r="D224" s="6" t="s">
        <v>276</v>
      </c>
      <c r="E224" s="7">
        <v>7</v>
      </c>
      <c r="F224" s="8">
        <v>1.3</v>
      </c>
      <c r="G224" s="9">
        <v>3717</v>
      </c>
      <c r="H224" s="9">
        <v>6767</v>
      </c>
      <c r="I224" s="6" t="s">
        <v>399</v>
      </c>
      <c r="J224" s="6" t="s">
        <v>413</v>
      </c>
      <c r="K224" s="6" t="s">
        <v>414</v>
      </c>
    </row>
    <row r="225" spans="1:11" ht="14.4" x14ac:dyDescent="0.3">
      <c r="A225" s="11" t="s">
        <v>384</v>
      </c>
      <c r="B225" s="6" t="s">
        <v>415</v>
      </c>
      <c r="C225" s="6" t="s">
        <v>263</v>
      </c>
      <c r="D225" s="6" t="s">
        <v>264</v>
      </c>
      <c r="E225" s="7">
        <v>7</v>
      </c>
      <c r="F225" s="8">
        <v>12.7</v>
      </c>
      <c r="G225" s="9">
        <v>3492</v>
      </c>
      <c r="H225" s="9">
        <v>7374</v>
      </c>
      <c r="I225" s="6" t="s">
        <v>416</v>
      </c>
      <c r="J225" s="6" t="s">
        <v>413</v>
      </c>
      <c r="K225" s="6" t="s">
        <v>414</v>
      </c>
    </row>
    <row r="226" spans="1:11" ht="14.4" x14ac:dyDescent="0.3">
      <c r="A226" s="11" t="s">
        <v>384</v>
      </c>
      <c r="B226" s="6" t="s">
        <v>417</v>
      </c>
      <c r="C226" s="6" t="s">
        <v>278</v>
      </c>
      <c r="D226" s="6" t="s">
        <v>279</v>
      </c>
      <c r="E226" s="7">
        <v>6</v>
      </c>
      <c r="F226" s="8">
        <v>10.199999999999999</v>
      </c>
      <c r="G226" s="9">
        <v>3249</v>
      </c>
      <c r="H226" s="9">
        <v>6681</v>
      </c>
      <c r="I226" s="6" t="s">
        <v>416</v>
      </c>
      <c r="J226" s="6" t="s">
        <v>388</v>
      </c>
      <c r="K226" s="6" t="s">
        <v>418</v>
      </c>
    </row>
    <row r="227" spans="1:11" ht="14.4" x14ac:dyDescent="0.3">
      <c r="A227" s="11" t="s">
        <v>384</v>
      </c>
      <c r="B227" s="6" t="s">
        <v>419</v>
      </c>
      <c r="C227" s="6" t="s">
        <v>322</v>
      </c>
      <c r="D227" s="6" t="s">
        <v>323</v>
      </c>
      <c r="E227" s="7">
        <v>9</v>
      </c>
      <c r="F227" s="8">
        <v>2.7</v>
      </c>
      <c r="G227" s="9">
        <v>3047</v>
      </c>
      <c r="H227" s="9">
        <v>7060</v>
      </c>
      <c r="I227" s="6" t="s">
        <v>364</v>
      </c>
      <c r="J227" s="6" t="s">
        <v>420</v>
      </c>
      <c r="K227" s="6" t="s">
        <v>400</v>
      </c>
    </row>
    <row r="228" spans="1:11" ht="14.4" x14ac:dyDescent="0.3">
      <c r="A228" s="11" t="s">
        <v>384</v>
      </c>
      <c r="B228" s="6" t="s">
        <v>421</v>
      </c>
      <c r="C228" s="6" t="s">
        <v>311</v>
      </c>
      <c r="D228" s="6" t="s">
        <v>312</v>
      </c>
      <c r="E228" s="7">
        <v>2</v>
      </c>
      <c r="F228" s="8">
        <v>2.2000000000000002</v>
      </c>
      <c r="G228" s="9">
        <v>2259</v>
      </c>
      <c r="H228" s="9">
        <v>7175</v>
      </c>
      <c r="I228" s="6" t="s">
        <v>422</v>
      </c>
      <c r="J228" s="6" t="s">
        <v>423</v>
      </c>
      <c r="K228" s="6" t="s">
        <v>409</v>
      </c>
    </row>
    <row r="229" spans="1:11" ht="14.4" x14ac:dyDescent="0.3">
      <c r="A229" s="11" t="s">
        <v>384</v>
      </c>
      <c r="B229" s="6" t="s">
        <v>424</v>
      </c>
      <c r="C229" s="6" t="s">
        <v>299</v>
      </c>
      <c r="D229" s="6" t="s">
        <v>300</v>
      </c>
      <c r="E229" s="7">
        <v>4</v>
      </c>
      <c r="F229" s="8">
        <v>5.8</v>
      </c>
      <c r="G229" s="9">
        <v>1802</v>
      </c>
      <c r="H229" s="9">
        <v>7254</v>
      </c>
      <c r="I229" s="6" t="s">
        <v>388</v>
      </c>
      <c r="J229" s="6" t="s">
        <v>425</v>
      </c>
      <c r="K229" s="6" t="s">
        <v>426</v>
      </c>
    </row>
    <row r="230" spans="1:11" ht="14.4" x14ac:dyDescent="0.3">
      <c r="A230" s="12" t="s">
        <v>427</v>
      </c>
      <c r="B230" s="6" t="s">
        <v>428</v>
      </c>
      <c r="C230" s="6" t="s">
        <v>23</v>
      </c>
      <c r="D230" s="6" t="s">
        <v>24</v>
      </c>
      <c r="E230" s="7">
        <v>9</v>
      </c>
      <c r="F230" s="8">
        <v>211.5</v>
      </c>
      <c r="G230" s="9">
        <v>75081</v>
      </c>
      <c r="H230" s="9">
        <v>6167</v>
      </c>
      <c r="I230" s="6"/>
      <c r="J230" s="6" t="s">
        <v>399</v>
      </c>
      <c r="K230" s="6" t="s">
        <v>429</v>
      </c>
    </row>
    <row r="231" spans="1:11" ht="14.4" x14ac:dyDescent="0.3">
      <c r="A231" s="12" t="s">
        <v>427</v>
      </c>
      <c r="B231" s="6" t="s">
        <v>430</v>
      </c>
      <c r="C231" s="6" t="s">
        <v>397</v>
      </c>
      <c r="D231" s="6" t="s">
        <v>398</v>
      </c>
      <c r="E231" s="7">
        <v>8</v>
      </c>
      <c r="F231" s="8">
        <v>270.89999999999998</v>
      </c>
      <c r="G231" s="9">
        <v>71517</v>
      </c>
      <c r="H231" s="9">
        <v>5842</v>
      </c>
      <c r="I231" s="6"/>
      <c r="J231" s="6" t="s">
        <v>416</v>
      </c>
      <c r="K231" s="6" t="s">
        <v>431</v>
      </c>
    </row>
    <row r="232" spans="1:11" ht="14.4" x14ac:dyDescent="0.3">
      <c r="A232" s="12" t="s">
        <v>427</v>
      </c>
      <c r="B232" s="6" t="s">
        <v>432</v>
      </c>
      <c r="C232" s="6" t="s">
        <v>362</v>
      </c>
      <c r="D232" s="6" t="s">
        <v>363</v>
      </c>
      <c r="E232" s="7">
        <v>9</v>
      </c>
      <c r="F232" s="8">
        <v>128.30000000000001</v>
      </c>
      <c r="G232" s="9">
        <v>61500</v>
      </c>
      <c r="H232" s="9">
        <v>6163</v>
      </c>
      <c r="I232" s="6"/>
      <c r="J232" s="6" t="s">
        <v>399</v>
      </c>
      <c r="K232" s="6" t="s">
        <v>429</v>
      </c>
    </row>
    <row r="233" spans="1:11" ht="14.4" x14ac:dyDescent="0.3">
      <c r="A233" s="12" t="s">
        <v>427</v>
      </c>
      <c r="B233" s="6" t="s">
        <v>433</v>
      </c>
      <c r="C233" s="6" t="s">
        <v>23</v>
      </c>
      <c r="D233" s="6" t="s">
        <v>24</v>
      </c>
      <c r="E233" s="7">
        <v>9</v>
      </c>
      <c r="F233" s="8">
        <v>164.4</v>
      </c>
      <c r="G233" s="9">
        <v>56240</v>
      </c>
      <c r="H233" s="9">
        <v>6128</v>
      </c>
      <c r="I233" s="6"/>
      <c r="J233" s="6" t="s">
        <v>399</v>
      </c>
      <c r="K233" s="6" t="s">
        <v>429</v>
      </c>
    </row>
    <row r="234" spans="1:11" ht="14.4" x14ac:dyDescent="0.3">
      <c r="A234" s="12" t="s">
        <v>427</v>
      </c>
      <c r="B234" s="6" t="s">
        <v>434</v>
      </c>
      <c r="C234" s="6" t="s">
        <v>386</v>
      </c>
      <c r="D234" s="6" t="s">
        <v>387</v>
      </c>
      <c r="E234" s="7">
        <v>5</v>
      </c>
      <c r="F234" s="8">
        <v>222</v>
      </c>
      <c r="G234" s="9">
        <v>53339</v>
      </c>
      <c r="H234" s="9">
        <v>3476</v>
      </c>
      <c r="I234" s="6"/>
      <c r="J234" s="6" t="s">
        <v>394</v>
      </c>
      <c r="K234" s="6" t="s">
        <v>435</v>
      </c>
    </row>
    <row r="235" spans="1:11" ht="14.4" x14ac:dyDescent="0.3">
      <c r="A235" s="12" t="s">
        <v>427</v>
      </c>
      <c r="B235" s="6" t="s">
        <v>436</v>
      </c>
      <c r="C235" s="6" t="s">
        <v>437</v>
      </c>
      <c r="D235" s="6" t="s">
        <v>438</v>
      </c>
      <c r="E235" s="7">
        <v>8</v>
      </c>
      <c r="F235" s="8">
        <v>135.5</v>
      </c>
      <c r="G235" s="9">
        <v>49092</v>
      </c>
      <c r="H235" s="9">
        <v>5866</v>
      </c>
      <c r="I235" s="6"/>
      <c r="J235" s="6" t="s">
        <v>416</v>
      </c>
      <c r="K235" s="6" t="s">
        <v>431</v>
      </c>
    </row>
    <row r="236" spans="1:11" ht="14.4" x14ac:dyDescent="0.3">
      <c r="A236" s="12" t="s">
        <v>427</v>
      </c>
      <c r="B236" s="6" t="s">
        <v>439</v>
      </c>
      <c r="C236" s="6" t="s">
        <v>437</v>
      </c>
      <c r="D236" s="6" t="s">
        <v>438</v>
      </c>
      <c r="E236" s="7">
        <v>8</v>
      </c>
      <c r="F236" s="8">
        <v>123.7</v>
      </c>
      <c r="G236" s="9">
        <v>48584</v>
      </c>
      <c r="H236" s="9">
        <v>5868</v>
      </c>
      <c r="I236" s="6"/>
      <c r="J236" s="6" t="s">
        <v>416</v>
      </c>
      <c r="K236" s="6" t="s">
        <v>431</v>
      </c>
    </row>
    <row r="237" spans="1:11" ht="14.4" x14ac:dyDescent="0.3">
      <c r="A237" s="12" t="s">
        <v>427</v>
      </c>
      <c r="B237" s="6" t="s">
        <v>440</v>
      </c>
      <c r="C237" s="6" t="s">
        <v>437</v>
      </c>
      <c r="D237" s="6" t="s">
        <v>438</v>
      </c>
      <c r="E237" s="7">
        <v>5</v>
      </c>
      <c r="F237" s="8">
        <v>199.7</v>
      </c>
      <c r="G237" s="9">
        <v>41562</v>
      </c>
      <c r="H237" s="9">
        <v>3662</v>
      </c>
      <c r="I237" s="6"/>
      <c r="J237" s="6" t="s">
        <v>394</v>
      </c>
      <c r="K237" s="6" t="s">
        <v>435</v>
      </c>
    </row>
    <row r="238" spans="1:11" ht="14.4" x14ac:dyDescent="0.3">
      <c r="A238" s="12" t="s">
        <v>427</v>
      </c>
      <c r="B238" s="6" t="s">
        <v>441</v>
      </c>
      <c r="C238" s="6" t="s">
        <v>437</v>
      </c>
      <c r="D238" s="6" t="s">
        <v>438</v>
      </c>
      <c r="E238" s="7">
        <v>8</v>
      </c>
      <c r="F238" s="8">
        <v>113.9</v>
      </c>
      <c r="G238" s="9">
        <v>37091</v>
      </c>
      <c r="H238" s="9">
        <v>5456</v>
      </c>
      <c r="I238" s="6"/>
      <c r="J238" s="6" t="s">
        <v>416</v>
      </c>
      <c r="K238" s="6" t="s">
        <v>431</v>
      </c>
    </row>
    <row r="239" spans="1:11" ht="14.4" x14ac:dyDescent="0.3">
      <c r="A239" s="12" t="s">
        <v>427</v>
      </c>
      <c r="B239" s="6" t="s">
        <v>442</v>
      </c>
      <c r="C239" s="6" t="s">
        <v>26</v>
      </c>
      <c r="D239" s="6" t="s">
        <v>27</v>
      </c>
      <c r="E239" s="7">
        <v>9</v>
      </c>
      <c r="F239" s="8">
        <v>78.2</v>
      </c>
      <c r="G239" s="9">
        <v>34389</v>
      </c>
      <c r="H239" s="9">
        <v>6191</v>
      </c>
      <c r="I239" s="6"/>
      <c r="J239" s="6" t="s">
        <v>399</v>
      </c>
      <c r="K239" s="6" t="s">
        <v>429</v>
      </c>
    </row>
    <row r="240" spans="1:11" ht="14.4" x14ac:dyDescent="0.3">
      <c r="A240" s="12" t="s">
        <v>427</v>
      </c>
      <c r="B240" s="6" t="s">
        <v>443</v>
      </c>
      <c r="C240" s="6" t="s">
        <v>392</v>
      </c>
      <c r="D240" s="6" t="s">
        <v>393</v>
      </c>
      <c r="E240" s="7">
        <v>5</v>
      </c>
      <c r="F240" s="8">
        <v>166.2</v>
      </c>
      <c r="G240" s="9">
        <v>33833</v>
      </c>
      <c r="H240" s="9">
        <v>3622</v>
      </c>
      <c r="I240" s="6"/>
      <c r="J240" s="6" t="s">
        <v>394</v>
      </c>
      <c r="K240" s="6" t="s">
        <v>435</v>
      </c>
    </row>
    <row r="241" spans="1:11" ht="14.4" x14ac:dyDescent="0.3">
      <c r="A241" s="12" t="s">
        <v>427</v>
      </c>
      <c r="B241" s="6" t="s">
        <v>444</v>
      </c>
      <c r="C241" s="6" t="s">
        <v>386</v>
      </c>
      <c r="D241" s="6" t="s">
        <v>387</v>
      </c>
      <c r="E241" s="7">
        <v>5</v>
      </c>
      <c r="F241" s="8">
        <v>204.4</v>
      </c>
      <c r="G241" s="9">
        <v>32818</v>
      </c>
      <c r="H241" s="9">
        <v>3543</v>
      </c>
      <c r="I241" s="6"/>
      <c r="J241" s="6" t="s">
        <v>394</v>
      </c>
      <c r="K241" s="6" t="s">
        <v>435</v>
      </c>
    </row>
    <row r="242" spans="1:11" ht="14.4" x14ac:dyDescent="0.3">
      <c r="A242" s="12" t="s">
        <v>427</v>
      </c>
      <c r="B242" s="6" t="s">
        <v>445</v>
      </c>
      <c r="C242" s="6" t="s">
        <v>392</v>
      </c>
      <c r="D242" s="6" t="s">
        <v>393</v>
      </c>
      <c r="E242" s="7">
        <v>5</v>
      </c>
      <c r="F242" s="8">
        <v>61.9</v>
      </c>
      <c r="G242" s="9">
        <v>31030</v>
      </c>
      <c r="H242" s="9">
        <v>3270</v>
      </c>
      <c r="I242" s="6"/>
      <c r="J242" s="6" t="s">
        <v>394</v>
      </c>
      <c r="K242" s="6" t="s">
        <v>435</v>
      </c>
    </row>
    <row r="243" spans="1:11" ht="14.4" x14ac:dyDescent="0.3">
      <c r="A243" s="12" t="s">
        <v>427</v>
      </c>
      <c r="B243" s="6" t="s">
        <v>446</v>
      </c>
      <c r="C243" s="6" t="s">
        <v>392</v>
      </c>
      <c r="D243" s="6" t="s">
        <v>393</v>
      </c>
      <c r="E243" s="7">
        <v>5</v>
      </c>
      <c r="F243" s="8">
        <v>193.5</v>
      </c>
      <c r="G243" s="9">
        <v>30298</v>
      </c>
      <c r="H243" s="9">
        <v>3001</v>
      </c>
      <c r="I243" s="6"/>
      <c r="J243" s="6" t="s">
        <v>394</v>
      </c>
      <c r="K243" s="6" t="s">
        <v>435</v>
      </c>
    </row>
    <row r="244" spans="1:11" ht="14.4" x14ac:dyDescent="0.3">
      <c r="A244" s="12" t="s">
        <v>427</v>
      </c>
      <c r="B244" s="6" t="s">
        <v>447</v>
      </c>
      <c r="C244" s="6" t="s">
        <v>392</v>
      </c>
      <c r="D244" s="6" t="s">
        <v>393</v>
      </c>
      <c r="E244" s="7">
        <v>5</v>
      </c>
      <c r="F244" s="8">
        <v>171</v>
      </c>
      <c r="G244" s="9">
        <v>26733</v>
      </c>
      <c r="H244" s="9">
        <v>3165</v>
      </c>
      <c r="I244" s="6"/>
      <c r="J244" s="6" t="s">
        <v>394</v>
      </c>
      <c r="K244" s="6" t="s">
        <v>435</v>
      </c>
    </row>
    <row r="245" spans="1:11" ht="14.4" x14ac:dyDescent="0.3">
      <c r="A245" s="12" t="s">
        <v>427</v>
      </c>
      <c r="B245" s="6" t="s">
        <v>448</v>
      </c>
      <c r="C245" s="6" t="s">
        <v>437</v>
      </c>
      <c r="D245" s="6" t="s">
        <v>438</v>
      </c>
      <c r="E245" s="7">
        <v>5</v>
      </c>
      <c r="F245" s="8">
        <v>144.19999999999999</v>
      </c>
      <c r="G245" s="9">
        <v>26705</v>
      </c>
      <c r="H245" s="9">
        <v>3176</v>
      </c>
      <c r="I245" s="6"/>
      <c r="J245" s="6" t="s">
        <v>394</v>
      </c>
      <c r="K245" s="6" t="s">
        <v>435</v>
      </c>
    </row>
    <row r="246" spans="1:11" ht="14.4" x14ac:dyDescent="0.3">
      <c r="A246" s="12" t="s">
        <v>427</v>
      </c>
      <c r="B246" s="6" t="s">
        <v>449</v>
      </c>
      <c r="C246" s="6" t="s">
        <v>26</v>
      </c>
      <c r="D246" s="6" t="s">
        <v>27</v>
      </c>
      <c r="E246" s="7">
        <v>9</v>
      </c>
      <c r="F246" s="8">
        <v>72.3</v>
      </c>
      <c r="G246" s="9">
        <v>26634</v>
      </c>
      <c r="H246" s="9">
        <v>6274</v>
      </c>
      <c r="I246" s="6"/>
      <c r="J246" s="6" t="s">
        <v>399</v>
      </c>
      <c r="K246" s="6" t="s">
        <v>429</v>
      </c>
    </row>
    <row r="247" spans="1:11" ht="14.4" x14ac:dyDescent="0.3">
      <c r="A247" s="12" t="s">
        <v>427</v>
      </c>
      <c r="B247" s="6" t="s">
        <v>450</v>
      </c>
      <c r="C247" s="6" t="s">
        <v>397</v>
      </c>
      <c r="D247" s="6" t="s">
        <v>398</v>
      </c>
      <c r="E247" s="7">
        <v>9</v>
      </c>
      <c r="F247" s="8">
        <v>79.8</v>
      </c>
      <c r="G247" s="9">
        <v>23322</v>
      </c>
      <c r="H247" s="9">
        <v>6129</v>
      </c>
      <c r="I247" s="6"/>
      <c r="J247" s="6" t="s">
        <v>399</v>
      </c>
      <c r="K247" s="6" t="s">
        <v>429</v>
      </c>
    </row>
    <row r="248" spans="1:11" ht="14.4" x14ac:dyDescent="0.3">
      <c r="A248" s="12" t="s">
        <v>427</v>
      </c>
      <c r="B248" s="6" t="s">
        <v>451</v>
      </c>
      <c r="C248" s="6" t="s">
        <v>392</v>
      </c>
      <c r="D248" s="6" t="s">
        <v>393</v>
      </c>
      <c r="E248" s="7">
        <v>4</v>
      </c>
      <c r="F248" s="8">
        <v>167.6</v>
      </c>
      <c r="G248" s="9">
        <v>21263</v>
      </c>
      <c r="H248" s="9">
        <v>2914</v>
      </c>
      <c r="I248" s="6"/>
      <c r="J248" s="6" t="s">
        <v>425</v>
      </c>
      <c r="K248" s="6" t="s">
        <v>452</v>
      </c>
    </row>
    <row r="249" spans="1:11" ht="14.4" x14ac:dyDescent="0.3">
      <c r="A249" s="12" t="s">
        <v>427</v>
      </c>
      <c r="B249" s="6" t="s">
        <v>453</v>
      </c>
      <c r="C249" s="6" t="s">
        <v>454</v>
      </c>
      <c r="D249" s="6" t="s">
        <v>455</v>
      </c>
      <c r="E249" s="7">
        <v>3</v>
      </c>
      <c r="F249" s="8">
        <v>171.2</v>
      </c>
      <c r="G249" s="9">
        <v>21068</v>
      </c>
      <c r="H249" s="9">
        <v>2333</v>
      </c>
      <c r="I249" s="6"/>
      <c r="J249" s="6" t="s">
        <v>411</v>
      </c>
      <c r="K249" s="6" t="s">
        <v>456</v>
      </c>
    </row>
    <row r="250" spans="1:11" ht="14.4" x14ac:dyDescent="0.3">
      <c r="A250" s="12" t="s">
        <v>427</v>
      </c>
      <c r="B250" s="6" t="s">
        <v>457</v>
      </c>
      <c r="C250" s="6" t="s">
        <v>454</v>
      </c>
      <c r="D250" s="6" t="s">
        <v>455</v>
      </c>
      <c r="E250" s="7">
        <v>4</v>
      </c>
      <c r="F250" s="8">
        <v>145.69999999999999</v>
      </c>
      <c r="G250" s="9">
        <v>20882</v>
      </c>
      <c r="H250" s="9">
        <v>2658</v>
      </c>
      <c r="I250" s="6"/>
      <c r="J250" s="6" t="s">
        <v>425</v>
      </c>
      <c r="K250" s="6" t="s">
        <v>452</v>
      </c>
    </row>
    <row r="251" spans="1:11" ht="14.4" x14ac:dyDescent="0.3">
      <c r="A251" s="12" t="s">
        <v>427</v>
      </c>
      <c r="B251" s="6" t="s">
        <v>458</v>
      </c>
      <c r="C251" s="6" t="s">
        <v>62</v>
      </c>
      <c r="D251" s="6" t="s">
        <v>63</v>
      </c>
      <c r="E251" s="7">
        <v>3</v>
      </c>
      <c r="F251" s="8">
        <v>263.5</v>
      </c>
      <c r="G251" s="9">
        <v>20210</v>
      </c>
      <c r="H251" s="9">
        <v>1992</v>
      </c>
      <c r="I251" s="6"/>
      <c r="J251" s="6" t="s">
        <v>411</v>
      </c>
      <c r="K251" s="6" t="s">
        <v>456</v>
      </c>
    </row>
    <row r="252" spans="1:11" ht="14.4" x14ac:dyDescent="0.3">
      <c r="A252" s="12" t="s">
        <v>427</v>
      </c>
      <c r="B252" s="6" t="s">
        <v>459</v>
      </c>
      <c r="C252" s="6" t="s">
        <v>454</v>
      </c>
      <c r="D252" s="6" t="s">
        <v>455</v>
      </c>
      <c r="E252" s="7">
        <v>4</v>
      </c>
      <c r="F252" s="8">
        <v>114.8</v>
      </c>
      <c r="G252" s="9">
        <v>18947</v>
      </c>
      <c r="H252" s="9">
        <v>2652</v>
      </c>
      <c r="I252" s="6"/>
      <c r="J252" s="6" t="s">
        <v>425</v>
      </c>
      <c r="K252" s="6" t="s">
        <v>452</v>
      </c>
    </row>
    <row r="253" spans="1:11" ht="14.4" x14ac:dyDescent="0.3">
      <c r="A253" s="12" t="s">
        <v>427</v>
      </c>
      <c r="B253" s="6" t="s">
        <v>460</v>
      </c>
      <c r="C253" s="6" t="s">
        <v>461</v>
      </c>
      <c r="D253" s="6" t="s">
        <v>462</v>
      </c>
      <c r="E253" s="7">
        <v>9</v>
      </c>
      <c r="F253" s="8">
        <v>51.7</v>
      </c>
      <c r="G253" s="9">
        <v>18263</v>
      </c>
      <c r="H253" s="9">
        <v>6469</v>
      </c>
      <c r="I253" s="6"/>
      <c r="J253" s="6" t="s">
        <v>399</v>
      </c>
      <c r="K253" s="6" t="s">
        <v>429</v>
      </c>
    </row>
    <row r="254" spans="1:11" ht="14.4" x14ac:dyDescent="0.3">
      <c r="A254" s="12" t="s">
        <v>427</v>
      </c>
      <c r="B254" s="6" t="s">
        <v>463</v>
      </c>
      <c r="C254" s="6" t="s">
        <v>454</v>
      </c>
      <c r="D254" s="6" t="s">
        <v>455</v>
      </c>
      <c r="E254" s="7">
        <v>4</v>
      </c>
      <c r="F254" s="8">
        <v>86.9</v>
      </c>
      <c r="G254" s="9">
        <v>15548</v>
      </c>
      <c r="H254" s="9">
        <v>3054</v>
      </c>
      <c r="I254" s="6"/>
      <c r="J254" s="6" t="s">
        <v>425</v>
      </c>
      <c r="K254" s="6" t="s">
        <v>452</v>
      </c>
    </row>
    <row r="255" spans="1:11" ht="14.4" x14ac:dyDescent="0.3">
      <c r="A255" s="12" t="s">
        <v>427</v>
      </c>
      <c r="B255" s="6" t="s">
        <v>464</v>
      </c>
      <c r="C255" s="6" t="s">
        <v>454</v>
      </c>
      <c r="D255" s="6" t="s">
        <v>455</v>
      </c>
      <c r="E255" s="7">
        <v>4</v>
      </c>
      <c r="F255" s="8">
        <v>120.1</v>
      </c>
      <c r="G255" s="9">
        <v>15431</v>
      </c>
      <c r="H255" s="9">
        <v>3050</v>
      </c>
      <c r="I255" s="6"/>
      <c r="J255" s="6" t="s">
        <v>425</v>
      </c>
      <c r="K255" s="6" t="s">
        <v>452</v>
      </c>
    </row>
    <row r="256" spans="1:11" ht="14.4" x14ac:dyDescent="0.3">
      <c r="A256" s="12" t="s">
        <v>427</v>
      </c>
      <c r="B256" s="6" t="s">
        <v>465</v>
      </c>
      <c r="C256" s="6" t="s">
        <v>62</v>
      </c>
      <c r="D256" s="6" t="s">
        <v>63</v>
      </c>
      <c r="E256" s="7">
        <v>3</v>
      </c>
      <c r="F256" s="8">
        <v>195.5</v>
      </c>
      <c r="G256" s="9">
        <v>15294</v>
      </c>
      <c r="H256" s="9">
        <v>1768</v>
      </c>
      <c r="I256" s="6"/>
      <c r="J256" s="6" t="s">
        <v>411</v>
      </c>
      <c r="K256" s="6" t="s">
        <v>456</v>
      </c>
    </row>
    <row r="257" spans="1:11" ht="14.4" x14ac:dyDescent="0.3">
      <c r="A257" s="12" t="s">
        <v>427</v>
      </c>
      <c r="B257" s="6" t="s">
        <v>466</v>
      </c>
      <c r="C257" s="6" t="s">
        <v>62</v>
      </c>
      <c r="D257" s="6" t="s">
        <v>63</v>
      </c>
      <c r="E257" s="7">
        <v>3</v>
      </c>
      <c r="F257" s="8">
        <v>162.4</v>
      </c>
      <c r="G257" s="9">
        <v>14951</v>
      </c>
      <c r="H257" s="9">
        <v>1992</v>
      </c>
      <c r="I257" s="6"/>
      <c r="J257" s="6" t="s">
        <v>411</v>
      </c>
      <c r="K257" s="6" t="s">
        <v>456</v>
      </c>
    </row>
    <row r="258" spans="1:11" ht="14.4" x14ac:dyDescent="0.3">
      <c r="A258" s="12" t="s">
        <v>427</v>
      </c>
      <c r="B258" s="6" t="s">
        <v>467</v>
      </c>
      <c r="C258" s="6" t="s">
        <v>468</v>
      </c>
      <c r="D258" s="6" t="s">
        <v>469</v>
      </c>
      <c r="E258" s="7">
        <v>2</v>
      </c>
      <c r="F258" s="8">
        <v>163.19999999999999</v>
      </c>
      <c r="G258" s="9">
        <v>10278</v>
      </c>
      <c r="H258" s="9">
        <v>1312</v>
      </c>
      <c r="I258" s="6"/>
      <c r="J258" s="6" t="s">
        <v>470</v>
      </c>
      <c r="K258" s="6" t="s">
        <v>471</v>
      </c>
    </row>
    <row r="259" spans="1:11" ht="14.4" x14ac:dyDescent="0.3">
      <c r="A259" s="12" t="s">
        <v>427</v>
      </c>
      <c r="B259" s="6" t="s">
        <v>472</v>
      </c>
      <c r="C259" s="6" t="s">
        <v>468</v>
      </c>
      <c r="D259" s="6" t="s">
        <v>469</v>
      </c>
      <c r="E259" s="7">
        <v>2</v>
      </c>
      <c r="F259" s="8">
        <v>144</v>
      </c>
      <c r="G259" s="9">
        <v>9550</v>
      </c>
      <c r="H259" s="9">
        <v>1100</v>
      </c>
      <c r="I259" s="6"/>
      <c r="J259" s="6" t="s">
        <v>470</v>
      </c>
      <c r="K259" s="6" t="s">
        <v>471</v>
      </c>
    </row>
    <row r="260" spans="1:11" ht="14.4" x14ac:dyDescent="0.3">
      <c r="A260" s="12" t="s">
        <v>427</v>
      </c>
      <c r="B260" s="6" t="s">
        <v>473</v>
      </c>
      <c r="C260" s="6" t="s">
        <v>468</v>
      </c>
      <c r="D260" s="6" t="s">
        <v>469</v>
      </c>
      <c r="E260" s="7">
        <v>2</v>
      </c>
      <c r="F260" s="8">
        <v>185.1</v>
      </c>
      <c r="G260" s="9">
        <v>8983</v>
      </c>
      <c r="H260" s="9">
        <v>1206</v>
      </c>
      <c r="I260" s="6"/>
      <c r="J260" s="6" t="s">
        <v>470</v>
      </c>
      <c r="K260" s="6" t="s">
        <v>471</v>
      </c>
    </row>
    <row r="261" spans="1:11" ht="14.4" x14ac:dyDescent="0.3">
      <c r="A261" s="13" t="s">
        <v>474</v>
      </c>
      <c r="B261" s="6" t="s">
        <v>475</v>
      </c>
      <c r="C261" s="6" t="s">
        <v>476</v>
      </c>
      <c r="D261" s="6" t="s">
        <v>477</v>
      </c>
      <c r="E261" s="7">
        <v>0</v>
      </c>
      <c r="F261" s="8">
        <v>0</v>
      </c>
      <c r="G261" s="9">
        <v>7995</v>
      </c>
      <c r="H261" s="9">
        <v>1954</v>
      </c>
      <c r="I261" s="6" t="s">
        <v>399</v>
      </c>
      <c r="J261" s="6"/>
      <c r="K261" s="6" t="s">
        <v>478</v>
      </c>
    </row>
    <row r="262" spans="1:11" ht="14.4" x14ac:dyDescent="0.3">
      <c r="A262" s="13" t="s">
        <v>474</v>
      </c>
      <c r="B262" s="6" t="s">
        <v>479</v>
      </c>
      <c r="C262" s="6" t="s">
        <v>182</v>
      </c>
      <c r="D262" s="6" t="s">
        <v>183</v>
      </c>
      <c r="E262" s="7">
        <v>0</v>
      </c>
      <c r="F262" s="8">
        <v>0.3</v>
      </c>
      <c r="G262" s="9">
        <v>7241</v>
      </c>
      <c r="H262" s="9">
        <v>8060</v>
      </c>
      <c r="I262" s="6" t="s">
        <v>480</v>
      </c>
      <c r="J262" s="6"/>
      <c r="K262" s="6" t="s">
        <v>478</v>
      </c>
    </row>
    <row r="263" spans="1:11" ht="14.4" x14ac:dyDescent="0.3">
      <c r="A263" s="13" t="s">
        <v>474</v>
      </c>
      <c r="B263" s="6" t="s">
        <v>481</v>
      </c>
      <c r="C263" s="6" t="s">
        <v>182</v>
      </c>
      <c r="D263" s="6" t="s">
        <v>183</v>
      </c>
      <c r="E263" s="7">
        <v>0</v>
      </c>
      <c r="F263" s="8">
        <v>1.4</v>
      </c>
      <c r="G263" s="9">
        <v>7069</v>
      </c>
      <c r="H263" s="9">
        <v>8142</v>
      </c>
      <c r="I263" s="6" t="s">
        <v>480</v>
      </c>
      <c r="J263" s="6"/>
      <c r="K263" s="6" t="s">
        <v>478</v>
      </c>
    </row>
    <row r="264" spans="1:11" ht="14.4" x14ac:dyDescent="0.3">
      <c r="A264" s="13" t="s">
        <v>474</v>
      </c>
      <c r="B264" s="6" t="s">
        <v>482</v>
      </c>
      <c r="C264" s="6" t="s">
        <v>367</v>
      </c>
      <c r="D264" s="6" t="s">
        <v>368</v>
      </c>
      <c r="E264" s="7">
        <v>0</v>
      </c>
      <c r="F264" s="8">
        <v>0</v>
      </c>
      <c r="G264" s="9">
        <v>6151</v>
      </c>
      <c r="H264" s="9">
        <v>2520</v>
      </c>
      <c r="I264" s="6" t="s">
        <v>411</v>
      </c>
      <c r="J264" s="6" t="s">
        <v>413</v>
      </c>
      <c r="K264" s="6" t="s">
        <v>478</v>
      </c>
    </row>
    <row r="265" spans="1:11" ht="14.4" x14ac:dyDescent="0.3">
      <c r="A265" s="13" t="s">
        <v>474</v>
      </c>
      <c r="B265" s="6" t="s">
        <v>483</v>
      </c>
      <c r="C265" s="6" t="s">
        <v>348</v>
      </c>
      <c r="D265" s="6" t="s">
        <v>349</v>
      </c>
      <c r="E265" s="7">
        <v>0</v>
      </c>
      <c r="F265" s="8">
        <v>0</v>
      </c>
      <c r="G265" s="9">
        <v>3083</v>
      </c>
      <c r="H265" s="9">
        <v>7683</v>
      </c>
      <c r="I265" s="6" t="s">
        <v>480</v>
      </c>
      <c r="J265" s="6"/>
      <c r="K265" s="6" t="s">
        <v>478</v>
      </c>
    </row>
    <row r="266" spans="1:11" ht="14.4" x14ac:dyDescent="0.3">
      <c r="A266" s="13" t="s">
        <v>474</v>
      </c>
      <c r="B266" s="6" t="s">
        <v>484</v>
      </c>
      <c r="C266" s="6" t="s">
        <v>485</v>
      </c>
      <c r="D266" s="6" t="s">
        <v>486</v>
      </c>
      <c r="E266" s="7">
        <v>0</v>
      </c>
      <c r="F266" s="8">
        <v>0</v>
      </c>
      <c r="G266" s="9">
        <v>3044</v>
      </c>
      <c r="H266" s="9">
        <v>852</v>
      </c>
      <c r="I266" s="6" t="s">
        <v>399</v>
      </c>
      <c r="J266" s="6" t="s">
        <v>377</v>
      </c>
      <c r="K266" s="6" t="s">
        <v>478</v>
      </c>
    </row>
    <row r="267" spans="1:11" ht="14.4" x14ac:dyDescent="0.3">
      <c r="A267" s="13" t="s">
        <v>474</v>
      </c>
      <c r="B267" s="6" t="s">
        <v>487</v>
      </c>
      <c r="C267" s="6" t="s">
        <v>461</v>
      </c>
      <c r="D267" s="6" t="s">
        <v>462</v>
      </c>
      <c r="E267" s="7">
        <v>0</v>
      </c>
      <c r="F267" s="8">
        <v>0</v>
      </c>
      <c r="G267" s="9">
        <v>2842</v>
      </c>
      <c r="H267" s="9">
        <v>3396</v>
      </c>
      <c r="I267" s="6" t="s">
        <v>488</v>
      </c>
      <c r="J267" s="6" t="s">
        <v>489</v>
      </c>
      <c r="K267" s="6" t="s">
        <v>478</v>
      </c>
    </row>
    <row r="268" spans="1:11" ht="14.4" x14ac:dyDescent="0.3">
      <c r="A268" s="13" t="s">
        <v>474</v>
      </c>
      <c r="B268" s="6" t="s">
        <v>490</v>
      </c>
      <c r="C268" s="6" t="s">
        <v>85</v>
      </c>
      <c r="D268" s="6" t="s">
        <v>86</v>
      </c>
      <c r="E268" s="7">
        <v>0</v>
      </c>
      <c r="F268" s="8">
        <v>0.1</v>
      </c>
      <c r="G268" s="9">
        <v>1933</v>
      </c>
      <c r="H268" s="9">
        <v>7863</v>
      </c>
      <c r="I268" s="6" t="s">
        <v>480</v>
      </c>
      <c r="J268" s="6"/>
      <c r="K268" s="6" t="s">
        <v>478</v>
      </c>
    </row>
    <row r="269" spans="1:11" ht="14.4" x14ac:dyDescent="0.3">
      <c r="A269" s="13" t="s">
        <v>474</v>
      </c>
      <c r="B269" s="6" t="s">
        <v>491</v>
      </c>
      <c r="C269" s="6" t="s">
        <v>348</v>
      </c>
      <c r="D269" s="6" t="s">
        <v>349</v>
      </c>
      <c r="E269" s="7">
        <v>0</v>
      </c>
      <c r="F269" s="8">
        <v>0</v>
      </c>
      <c r="G269" s="9">
        <v>1530</v>
      </c>
      <c r="H269" s="9">
        <v>6912</v>
      </c>
      <c r="I269" s="6" t="s">
        <v>470</v>
      </c>
      <c r="J269" s="6"/>
      <c r="K269" s="6" t="s">
        <v>478</v>
      </c>
    </row>
    <row r="270" spans="1:11" ht="14.4" x14ac:dyDescent="0.3">
      <c r="A270" s="13" t="s">
        <v>474</v>
      </c>
      <c r="B270" s="6" t="s">
        <v>492</v>
      </c>
      <c r="C270" s="6" t="s">
        <v>71</v>
      </c>
      <c r="D270" s="6" t="s">
        <v>72</v>
      </c>
      <c r="E270" s="7">
        <v>0</v>
      </c>
      <c r="F270" s="8">
        <v>0</v>
      </c>
      <c r="G270" s="9">
        <v>1486</v>
      </c>
      <c r="H270" s="9">
        <v>971</v>
      </c>
      <c r="I270" s="6" t="s">
        <v>364</v>
      </c>
      <c r="J270" s="6"/>
      <c r="K270" s="6" t="s">
        <v>478</v>
      </c>
    </row>
    <row r="271" spans="1:11" ht="14.4" x14ac:dyDescent="0.3">
      <c r="A271" s="13" t="s">
        <v>474</v>
      </c>
      <c r="B271" s="6" t="s">
        <v>493</v>
      </c>
      <c r="C271" s="6" t="s">
        <v>272</v>
      </c>
      <c r="D271" s="6" t="s">
        <v>273</v>
      </c>
      <c r="E271" s="7">
        <v>0</v>
      </c>
      <c r="F271" s="8">
        <v>1</v>
      </c>
      <c r="G271" s="9">
        <v>1465</v>
      </c>
      <c r="H271" s="9">
        <v>7732</v>
      </c>
      <c r="I271" s="6" t="s">
        <v>480</v>
      </c>
      <c r="J271" s="6"/>
      <c r="K271" s="6" t="s">
        <v>478</v>
      </c>
    </row>
    <row r="272" spans="1:11" ht="14.4" x14ac:dyDescent="0.3">
      <c r="A272" s="13" t="s">
        <v>474</v>
      </c>
      <c r="B272" s="6" t="s">
        <v>494</v>
      </c>
      <c r="C272" s="6" t="s">
        <v>437</v>
      </c>
      <c r="D272" s="6" t="s">
        <v>438</v>
      </c>
      <c r="E272" s="7">
        <v>0</v>
      </c>
      <c r="F272" s="8">
        <v>0</v>
      </c>
      <c r="G272" s="9">
        <v>1191</v>
      </c>
      <c r="H272" s="9">
        <v>1712</v>
      </c>
      <c r="I272" s="6" t="s">
        <v>394</v>
      </c>
      <c r="J272" s="6" t="s">
        <v>416</v>
      </c>
      <c r="K272" s="6" t="s">
        <v>478</v>
      </c>
    </row>
    <row r="273" spans="1:11" ht="14.4" x14ac:dyDescent="0.3">
      <c r="A273" s="13" t="s">
        <v>474</v>
      </c>
      <c r="B273" s="6" t="s">
        <v>495</v>
      </c>
      <c r="C273" s="6" t="s">
        <v>85</v>
      </c>
      <c r="D273" s="6" t="s">
        <v>86</v>
      </c>
      <c r="E273" s="7">
        <v>0</v>
      </c>
      <c r="F273" s="8">
        <v>0</v>
      </c>
      <c r="G273" s="9">
        <v>1181</v>
      </c>
      <c r="H273" s="9">
        <v>2329</v>
      </c>
      <c r="I273" s="6" t="s">
        <v>416</v>
      </c>
      <c r="J273" s="6"/>
      <c r="K273" s="6" t="s">
        <v>478</v>
      </c>
    </row>
    <row r="274" spans="1:11" ht="14.4" x14ac:dyDescent="0.3">
      <c r="A274" s="13" t="s">
        <v>474</v>
      </c>
      <c r="B274" s="6" t="s">
        <v>496</v>
      </c>
      <c r="C274" s="6" t="s">
        <v>497</v>
      </c>
      <c r="D274" s="6" t="s">
        <v>498</v>
      </c>
      <c r="E274" s="7">
        <v>0</v>
      </c>
      <c r="F274" s="8">
        <v>0</v>
      </c>
      <c r="G274" s="9">
        <v>1058</v>
      </c>
      <c r="H274" s="9">
        <v>938</v>
      </c>
      <c r="I274" s="6" t="s">
        <v>399</v>
      </c>
      <c r="J274" s="6" t="s">
        <v>377</v>
      </c>
      <c r="K274" s="6" t="s">
        <v>478</v>
      </c>
    </row>
    <row r="275" spans="1:11" ht="14.4" x14ac:dyDescent="0.3">
      <c r="A275" s="13" t="s">
        <v>474</v>
      </c>
      <c r="B275" s="6" t="s">
        <v>499</v>
      </c>
      <c r="C275" s="6" t="s">
        <v>348</v>
      </c>
      <c r="D275" s="6" t="s">
        <v>349</v>
      </c>
      <c r="E275" s="7">
        <v>0</v>
      </c>
      <c r="F275" s="8">
        <v>0</v>
      </c>
      <c r="G275" s="9">
        <v>1049</v>
      </c>
      <c r="H275" s="9">
        <v>4824</v>
      </c>
      <c r="I275" s="6" t="s">
        <v>394</v>
      </c>
      <c r="J275" s="6"/>
      <c r="K275" s="6" t="s">
        <v>478</v>
      </c>
    </row>
    <row r="276" spans="1:11" ht="14.4" x14ac:dyDescent="0.3">
      <c r="A276" s="13" t="s">
        <v>474</v>
      </c>
      <c r="B276" s="6" t="s">
        <v>500</v>
      </c>
      <c r="C276" s="6" t="s">
        <v>437</v>
      </c>
      <c r="D276" s="6" t="s">
        <v>438</v>
      </c>
      <c r="E276" s="7">
        <v>0</v>
      </c>
      <c r="F276" s="8">
        <v>0</v>
      </c>
      <c r="G276" s="9">
        <v>704</v>
      </c>
      <c r="H276" s="9">
        <v>1656</v>
      </c>
      <c r="I276" s="6" t="s">
        <v>394</v>
      </c>
      <c r="J276" s="6" t="s">
        <v>416</v>
      </c>
      <c r="K276" s="6" t="s">
        <v>478</v>
      </c>
    </row>
    <row r="277" spans="1:11" ht="14.4" x14ac:dyDescent="0.3">
      <c r="A277" s="13" t="s">
        <v>474</v>
      </c>
      <c r="B277" s="6" t="s">
        <v>501</v>
      </c>
      <c r="C277" s="6" t="s">
        <v>502</v>
      </c>
      <c r="D277" s="6" t="s">
        <v>503</v>
      </c>
      <c r="E277" s="7">
        <v>0</v>
      </c>
      <c r="F277" s="8">
        <v>0</v>
      </c>
      <c r="G277" s="9">
        <v>693</v>
      </c>
      <c r="H277" s="9">
        <v>194</v>
      </c>
      <c r="I277" s="6"/>
      <c r="J277" s="6"/>
      <c r="K277" s="6" t="s">
        <v>478</v>
      </c>
    </row>
    <row r="278" spans="1:11" ht="14.4" x14ac:dyDescent="0.3">
      <c r="A278" s="13" t="s">
        <v>474</v>
      </c>
      <c r="B278" s="6" t="s">
        <v>504</v>
      </c>
      <c r="C278" s="6" t="s">
        <v>505</v>
      </c>
      <c r="D278" s="6" t="s">
        <v>506</v>
      </c>
      <c r="E278" s="7">
        <v>0</v>
      </c>
      <c r="F278" s="8">
        <v>0</v>
      </c>
      <c r="G278" s="9">
        <v>561</v>
      </c>
      <c r="H278" s="9">
        <v>653</v>
      </c>
      <c r="I278" s="6" t="s">
        <v>399</v>
      </c>
      <c r="J278" s="6" t="s">
        <v>377</v>
      </c>
      <c r="K278" s="6" t="s">
        <v>478</v>
      </c>
    </row>
    <row r="279" spans="1:11" ht="14.4" x14ac:dyDescent="0.3">
      <c r="A279" s="13" t="s">
        <v>474</v>
      </c>
      <c r="B279" s="6" t="s">
        <v>507</v>
      </c>
      <c r="C279" s="6" t="s">
        <v>508</v>
      </c>
      <c r="D279" s="6" t="s">
        <v>509</v>
      </c>
      <c r="E279" s="7">
        <v>0</v>
      </c>
      <c r="F279" s="8">
        <v>0</v>
      </c>
      <c r="G279" s="9">
        <v>504</v>
      </c>
      <c r="H279" s="9">
        <v>796</v>
      </c>
      <c r="I279" s="6" t="s">
        <v>364</v>
      </c>
      <c r="J279" s="6" t="s">
        <v>377</v>
      </c>
      <c r="K279" s="6" t="s">
        <v>478</v>
      </c>
    </row>
    <row r="280" spans="1:11" ht="14.4" x14ac:dyDescent="0.3">
      <c r="A280" s="13" t="s">
        <v>474</v>
      </c>
      <c r="B280" s="6" t="s">
        <v>510</v>
      </c>
      <c r="C280" s="6" t="s">
        <v>71</v>
      </c>
      <c r="D280" s="6" t="s">
        <v>72</v>
      </c>
      <c r="E280" s="7">
        <v>0</v>
      </c>
      <c r="F280" s="8">
        <v>0</v>
      </c>
      <c r="G280" s="9">
        <v>467</v>
      </c>
      <c r="H280" s="9">
        <v>656</v>
      </c>
      <c r="I280" s="6" t="s">
        <v>364</v>
      </c>
      <c r="J280" s="6" t="s">
        <v>377</v>
      </c>
      <c r="K280" s="6" t="s">
        <v>478</v>
      </c>
    </row>
    <row r="281" spans="1:11" ht="14.4" x14ac:dyDescent="0.3">
      <c r="A281" s="13" t="s">
        <v>474</v>
      </c>
      <c r="B281" s="6" t="s">
        <v>511</v>
      </c>
      <c r="C281" s="6" t="s">
        <v>55</v>
      </c>
      <c r="D281" s="6" t="s">
        <v>56</v>
      </c>
      <c r="E281" s="7">
        <v>0</v>
      </c>
      <c r="F281" s="8">
        <v>0</v>
      </c>
      <c r="G281" s="9">
        <v>386</v>
      </c>
      <c r="H281" s="9">
        <v>1031</v>
      </c>
      <c r="I281" s="6" t="s">
        <v>399</v>
      </c>
      <c r="J281" s="6" t="s">
        <v>377</v>
      </c>
      <c r="K281" s="6" t="s">
        <v>478</v>
      </c>
    </row>
    <row r="282" spans="1:11" ht="14.4" x14ac:dyDescent="0.3">
      <c r="A282" s="13" t="s">
        <v>474</v>
      </c>
      <c r="B282" s="6" t="s">
        <v>512</v>
      </c>
      <c r="C282" s="6" t="s">
        <v>513</v>
      </c>
      <c r="D282" s="6" t="s">
        <v>514</v>
      </c>
      <c r="E282" s="7">
        <v>0</v>
      </c>
      <c r="F282" s="8">
        <v>4.2</v>
      </c>
      <c r="G282" s="9">
        <v>259</v>
      </c>
      <c r="H282" s="9">
        <v>667</v>
      </c>
      <c r="I282" s="6" t="s">
        <v>399</v>
      </c>
      <c r="J282" s="6" t="s">
        <v>364</v>
      </c>
      <c r="K282" s="6" t="s">
        <v>478</v>
      </c>
    </row>
    <row r="283" spans="1:11" ht="14.4" x14ac:dyDescent="0.3">
      <c r="A283" s="13" t="s">
        <v>474</v>
      </c>
      <c r="B283" s="6" t="s">
        <v>515</v>
      </c>
      <c r="C283" s="6" t="s">
        <v>516</v>
      </c>
      <c r="D283" s="6" t="s">
        <v>517</v>
      </c>
      <c r="E283" s="7">
        <v>0</v>
      </c>
      <c r="F283" s="8">
        <v>0</v>
      </c>
      <c r="G283" s="9">
        <v>100</v>
      </c>
      <c r="H283" s="9">
        <v>204</v>
      </c>
      <c r="I283" s="6"/>
      <c r="J283" s="6"/>
      <c r="K283" s="6" t="s">
        <v>478</v>
      </c>
    </row>
    <row r="284" spans="1:11" ht="14.4" x14ac:dyDescent="0.3">
      <c r="A284" s="13" t="s">
        <v>474</v>
      </c>
      <c r="B284" s="6" t="s">
        <v>518</v>
      </c>
      <c r="C284" s="6" t="s">
        <v>516</v>
      </c>
      <c r="D284" s="6" t="s">
        <v>517</v>
      </c>
      <c r="E284" s="7">
        <v>0</v>
      </c>
      <c r="F284" s="8">
        <v>0</v>
      </c>
      <c r="G284" s="9">
        <v>72</v>
      </c>
      <c r="H284" s="9">
        <v>204</v>
      </c>
      <c r="I284" s="6"/>
      <c r="J284" s="6"/>
      <c r="K284" s="6" t="s">
        <v>478</v>
      </c>
    </row>
    <row r="285" spans="1:11" ht="14.4" x14ac:dyDescent="0.3">
      <c r="A285" s="13" t="s">
        <v>474</v>
      </c>
      <c r="B285" s="6" t="s">
        <v>519</v>
      </c>
      <c r="C285" s="6" t="s">
        <v>516</v>
      </c>
      <c r="D285" s="6" t="s">
        <v>517</v>
      </c>
      <c r="E285" s="7">
        <v>0</v>
      </c>
      <c r="F285" s="8">
        <v>0</v>
      </c>
      <c r="G285" s="9">
        <v>21</v>
      </c>
      <c r="H285" s="9">
        <v>216</v>
      </c>
      <c r="I285" s="6"/>
      <c r="J285" s="6"/>
      <c r="K285" s="6" t="s">
        <v>478</v>
      </c>
    </row>
    <row r="286" spans="1:11" ht="14.4" x14ac:dyDescent="0.3">
      <c r="A286" s="13" t="s">
        <v>474</v>
      </c>
      <c r="B286" s="6" t="s">
        <v>520</v>
      </c>
      <c r="C286" s="6" t="s">
        <v>508</v>
      </c>
      <c r="D286" s="6" t="s">
        <v>509</v>
      </c>
      <c r="E286" s="7">
        <v>0</v>
      </c>
      <c r="F286" s="8">
        <v>0</v>
      </c>
      <c r="G286" s="9">
        <v>14</v>
      </c>
      <c r="H286" s="9">
        <v>161</v>
      </c>
      <c r="I286" s="6"/>
      <c r="J286" s="6"/>
      <c r="K286" s="6" t="s">
        <v>478</v>
      </c>
    </row>
    <row r="287" spans="1:11" ht="14.4" x14ac:dyDescent="0.3">
      <c r="A287" s="13" t="s">
        <v>474</v>
      </c>
      <c r="B287" s="6" t="s">
        <v>521</v>
      </c>
      <c r="C287" s="6" t="s">
        <v>65</v>
      </c>
      <c r="D287" s="6" t="s">
        <v>39</v>
      </c>
      <c r="E287" s="7">
        <v>0</v>
      </c>
      <c r="F287" s="8">
        <v>0</v>
      </c>
      <c r="G287" s="9">
        <v>11</v>
      </c>
      <c r="H287" s="9">
        <v>240</v>
      </c>
      <c r="I287" s="6" t="s">
        <v>377</v>
      </c>
      <c r="J287" s="6"/>
      <c r="K287" s="6" t="s">
        <v>478</v>
      </c>
    </row>
    <row r="288" spans="1:11" ht="14.4" x14ac:dyDescent="0.3">
      <c r="A288" s="13" t="s">
        <v>474</v>
      </c>
      <c r="B288" s="6" t="s">
        <v>522</v>
      </c>
      <c r="C288" s="6" t="s">
        <v>286</v>
      </c>
      <c r="D288" s="6" t="s">
        <v>287</v>
      </c>
      <c r="E288" s="7">
        <v>0</v>
      </c>
      <c r="F288" s="8">
        <v>0</v>
      </c>
      <c r="G288" s="9">
        <v>8</v>
      </c>
      <c r="H288" s="9">
        <v>24</v>
      </c>
      <c r="I288" s="6"/>
      <c r="J288" s="6"/>
      <c r="K288" s="6" t="s">
        <v>478</v>
      </c>
    </row>
    <row r="289" spans="1:11" ht="14.4" x14ac:dyDescent="0.3">
      <c r="A289" s="13" t="s">
        <v>474</v>
      </c>
      <c r="B289" s="6" t="s">
        <v>523</v>
      </c>
      <c r="C289" s="6" t="s">
        <v>524</v>
      </c>
      <c r="D289" s="6" t="s">
        <v>525</v>
      </c>
      <c r="E289" s="7">
        <v>0</v>
      </c>
      <c r="F289" s="8">
        <v>0</v>
      </c>
      <c r="G289" s="9">
        <v>1</v>
      </c>
      <c r="H289" s="9">
        <v>672</v>
      </c>
      <c r="I289" s="6" t="s">
        <v>413</v>
      </c>
      <c r="J289" s="6" t="s">
        <v>416</v>
      </c>
      <c r="K289" s="6" t="s">
        <v>478</v>
      </c>
    </row>
    <row r="290" spans="1:11" ht="14.4" x14ac:dyDescent="0.3">
      <c r="A290" s="13" t="s">
        <v>474</v>
      </c>
      <c r="B290" s="6" t="s">
        <v>526</v>
      </c>
      <c r="C290" s="6" t="s">
        <v>508</v>
      </c>
      <c r="D290" s="6" t="s">
        <v>509</v>
      </c>
      <c r="E290" s="7">
        <v>0</v>
      </c>
      <c r="F290" s="8">
        <v>0</v>
      </c>
      <c r="G290" s="9">
        <v>1</v>
      </c>
      <c r="H290" s="9">
        <v>93</v>
      </c>
      <c r="I290" s="6"/>
      <c r="J290" s="6"/>
      <c r="K290" s="6" t="s">
        <v>478</v>
      </c>
    </row>
  </sheetData>
  <autoFilter ref="A5:K290" xr:uid="{00000000-0009-0000-0000-000000000000}"/>
  <mergeCells count="3">
    <mergeCell ref="A1:K1"/>
    <mergeCell ref="A2:K2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9"/>
  <sheetViews>
    <sheetView tabSelected="1" zoomScaleNormal="100" workbookViewId="0">
      <pane xSplit="2" ySplit="4" topLeftCell="C5" activePane="bottomRight" state="frozen"/>
      <selection sqref="A1:K1"/>
      <selection pane="topRight" sqref="A1:K1"/>
      <selection pane="bottomLeft" sqref="A1:K1"/>
      <selection pane="bottomRight" sqref="A1:K1"/>
    </sheetView>
  </sheetViews>
  <sheetFormatPr defaultColWidth="8.6640625" defaultRowHeight="15" customHeight="1" x14ac:dyDescent="0.3"/>
  <cols>
    <col min="1" max="1" width="28" customWidth="1"/>
    <col min="2" max="2" width="34" customWidth="1"/>
    <col min="3" max="3" width="18" customWidth="1"/>
    <col min="4" max="4" width="14" customWidth="1"/>
    <col min="5" max="5" width="9" customWidth="1"/>
    <col min="6" max="6" width="8.6640625" bestFit="1" customWidth="1"/>
    <col min="7" max="16" width="9" customWidth="1"/>
    <col min="17" max="17" width="22" customWidth="1"/>
  </cols>
  <sheetData>
    <row r="1" spans="1:17" ht="17.25" customHeight="1" x14ac:dyDescent="0.3">
      <c r="A1" s="3" t="s">
        <v>527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ht="15" customHeight="1" x14ac:dyDescent="0.3">
      <c r="A2" s="2" t="s">
        <v>528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7" ht="30" customHeight="1" x14ac:dyDescent="0.3">
      <c r="A4" s="4" t="s">
        <v>4</v>
      </c>
      <c r="B4" s="4" t="s">
        <v>529</v>
      </c>
      <c r="C4" s="4" t="s">
        <v>530</v>
      </c>
      <c r="D4" s="4" t="s">
        <v>531</v>
      </c>
      <c r="E4" s="4" t="s">
        <v>532</v>
      </c>
      <c r="F4" s="4" t="s">
        <v>377</v>
      </c>
      <c r="G4" s="4" t="s">
        <v>364</v>
      </c>
      <c r="H4" s="4" t="s">
        <v>399</v>
      </c>
      <c r="I4" s="4" t="s">
        <v>416</v>
      </c>
      <c r="J4" s="4" t="s">
        <v>413</v>
      </c>
      <c r="K4" s="4" t="s">
        <v>388</v>
      </c>
      <c r="L4" s="4" t="s">
        <v>394</v>
      </c>
      <c r="M4" s="4" t="s">
        <v>425</v>
      </c>
      <c r="N4" s="4" t="s">
        <v>411</v>
      </c>
      <c r="O4" s="4" t="s">
        <v>470</v>
      </c>
      <c r="P4" s="4" t="s">
        <v>480</v>
      </c>
      <c r="Q4" s="4" t="s">
        <v>533</v>
      </c>
    </row>
    <row r="5" spans="1:17" ht="15" customHeight="1" x14ac:dyDescent="0.3">
      <c r="A5" s="6" t="s">
        <v>522</v>
      </c>
      <c r="B5" s="6" t="s">
        <v>286</v>
      </c>
      <c r="C5" s="8">
        <v>364</v>
      </c>
      <c r="D5" s="14">
        <v>2.7397260273972599E-3</v>
      </c>
      <c r="E5" s="15">
        <v>3.2258064516128997E-2</v>
      </c>
      <c r="F5" s="16" t="s">
        <v>534</v>
      </c>
      <c r="G5" s="16" t="s">
        <v>534</v>
      </c>
      <c r="H5" s="16" t="s">
        <v>534</v>
      </c>
      <c r="I5" s="16" t="s">
        <v>534</v>
      </c>
      <c r="J5" s="16" t="s">
        <v>534</v>
      </c>
      <c r="K5" s="16" t="s">
        <v>534</v>
      </c>
      <c r="L5" s="16" t="s">
        <v>534</v>
      </c>
      <c r="M5" s="16" t="s">
        <v>534</v>
      </c>
      <c r="N5" s="16" t="s">
        <v>534</v>
      </c>
      <c r="O5" s="16" t="s">
        <v>534</v>
      </c>
      <c r="P5" s="16" t="s">
        <v>534</v>
      </c>
      <c r="Q5" s="17" t="s">
        <v>535</v>
      </c>
    </row>
    <row r="6" spans="1:17" ht="15" customHeight="1" x14ac:dyDescent="0.3">
      <c r="A6" s="6" t="s">
        <v>526</v>
      </c>
      <c r="B6" s="6" t="s">
        <v>508</v>
      </c>
      <c r="C6" s="8">
        <v>361.1</v>
      </c>
      <c r="D6" s="14">
        <v>1.0616438356164401E-2</v>
      </c>
      <c r="E6" s="15">
        <v>0.125</v>
      </c>
      <c r="F6" s="16" t="s">
        <v>534</v>
      </c>
      <c r="G6" s="16" t="s">
        <v>534</v>
      </c>
      <c r="H6" s="16" t="s">
        <v>534</v>
      </c>
      <c r="I6" s="16" t="s">
        <v>534</v>
      </c>
      <c r="J6" s="16" t="s">
        <v>534</v>
      </c>
      <c r="K6" s="16" t="s">
        <v>534</v>
      </c>
      <c r="L6" s="16" t="s">
        <v>534</v>
      </c>
      <c r="M6" s="16" t="s">
        <v>534</v>
      </c>
      <c r="N6" s="16" t="s">
        <v>534</v>
      </c>
      <c r="O6" s="16" t="s">
        <v>534</v>
      </c>
      <c r="P6" s="16" t="s">
        <v>534</v>
      </c>
      <c r="Q6" s="17" t="s">
        <v>535</v>
      </c>
    </row>
    <row r="7" spans="1:17" ht="15" customHeight="1" x14ac:dyDescent="0.3">
      <c r="A7" s="6" t="s">
        <v>515</v>
      </c>
      <c r="B7" s="6" t="s">
        <v>516</v>
      </c>
      <c r="C7" s="8">
        <v>356.5</v>
      </c>
      <c r="D7" s="14">
        <v>2.32876712328767E-2</v>
      </c>
      <c r="E7" s="15">
        <v>0.27419354838709697</v>
      </c>
      <c r="F7" s="16" t="s">
        <v>534</v>
      </c>
      <c r="G7" s="16" t="s">
        <v>534</v>
      </c>
      <c r="H7" s="16" t="s">
        <v>534</v>
      </c>
      <c r="I7" s="16" t="s">
        <v>534</v>
      </c>
      <c r="J7" s="16" t="s">
        <v>534</v>
      </c>
      <c r="K7" s="16" t="s">
        <v>534</v>
      </c>
      <c r="L7" s="16" t="s">
        <v>534</v>
      </c>
      <c r="M7" s="16" t="s">
        <v>534</v>
      </c>
      <c r="N7" s="16" t="s">
        <v>534</v>
      </c>
      <c r="O7" s="16" t="s">
        <v>534</v>
      </c>
      <c r="P7" s="16" t="s">
        <v>534</v>
      </c>
      <c r="Q7" s="17" t="s">
        <v>535</v>
      </c>
    </row>
    <row r="8" spans="1:17" ht="15" customHeight="1" x14ac:dyDescent="0.3">
      <c r="A8" s="6" t="s">
        <v>518</v>
      </c>
      <c r="B8" s="6" t="s">
        <v>516</v>
      </c>
      <c r="C8" s="8">
        <v>356.5</v>
      </c>
      <c r="D8" s="14">
        <v>2.32876712328767E-2</v>
      </c>
      <c r="E8" s="15">
        <v>0.27419354838709697</v>
      </c>
      <c r="F8" s="16" t="s">
        <v>534</v>
      </c>
      <c r="G8" s="16" t="s">
        <v>534</v>
      </c>
      <c r="H8" s="16" t="s">
        <v>534</v>
      </c>
      <c r="I8" s="16" t="s">
        <v>534</v>
      </c>
      <c r="J8" s="16" t="s">
        <v>534</v>
      </c>
      <c r="K8" s="16" t="s">
        <v>534</v>
      </c>
      <c r="L8" s="16" t="s">
        <v>534</v>
      </c>
      <c r="M8" s="16" t="s">
        <v>534</v>
      </c>
      <c r="N8" s="16" t="s">
        <v>534</v>
      </c>
      <c r="O8" s="16" t="s">
        <v>534</v>
      </c>
      <c r="P8" s="16" t="s">
        <v>534</v>
      </c>
      <c r="Q8" s="17" t="s">
        <v>535</v>
      </c>
    </row>
    <row r="9" spans="1:17" ht="15" customHeight="1" x14ac:dyDescent="0.3">
      <c r="A9" s="6" t="s">
        <v>519</v>
      </c>
      <c r="B9" s="6" t="s">
        <v>516</v>
      </c>
      <c r="C9" s="8">
        <v>356</v>
      </c>
      <c r="D9" s="14">
        <v>2.46575342465753E-2</v>
      </c>
      <c r="E9" s="15">
        <v>0.29032258064516098</v>
      </c>
      <c r="F9" s="16" t="s">
        <v>534</v>
      </c>
      <c r="G9" s="16" t="s">
        <v>534</v>
      </c>
      <c r="H9" s="16" t="s">
        <v>534</v>
      </c>
      <c r="I9" s="16" t="s">
        <v>534</v>
      </c>
      <c r="J9" s="16" t="s">
        <v>534</v>
      </c>
      <c r="K9" s="16" t="s">
        <v>534</v>
      </c>
      <c r="L9" s="16" t="s">
        <v>534</v>
      </c>
      <c r="M9" s="16" t="s">
        <v>534</v>
      </c>
      <c r="N9" s="16" t="s">
        <v>534</v>
      </c>
      <c r="O9" s="16" t="s">
        <v>534</v>
      </c>
      <c r="P9" s="16" t="s">
        <v>534</v>
      </c>
      <c r="Q9" s="17" t="s">
        <v>535</v>
      </c>
    </row>
    <row r="10" spans="1:17" ht="15" customHeight="1" x14ac:dyDescent="0.3">
      <c r="A10" s="6" t="s">
        <v>521</v>
      </c>
      <c r="B10" s="6" t="s">
        <v>65</v>
      </c>
      <c r="C10" s="8">
        <v>355</v>
      </c>
      <c r="D10" s="14">
        <v>2.7397260273972601E-2</v>
      </c>
      <c r="E10" s="15">
        <v>0.32258064516128998</v>
      </c>
      <c r="F10" s="16" t="s">
        <v>534</v>
      </c>
      <c r="G10" s="16" t="s">
        <v>534</v>
      </c>
      <c r="H10" s="16" t="s">
        <v>534</v>
      </c>
      <c r="I10" s="16" t="s">
        <v>534</v>
      </c>
      <c r="J10" s="16" t="s">
        <v>534</v>
      </c>
      <c r="K10" s="16" t="s">
        <v>534</v>
      </c>
      <c r="L10" s="16" t="s">
        <v>534</v>
      </c>
      <c r="M10" s="16" t="s">
        <v>534</v>
      </c>
      <c r="N10" s="16" t="s">
        <v>534</v>
      </c>
      <c r="O10" s="16" t="s">
        <v>534</v>
      </c>
      <c r="P10" s="16" t="s">
        <v>534</v>
      </c>
      <c r="Q10" s="17" t="s">
        <v>535</v>
      </c>
    </row>
    <row r="11" spans="1:17" ht="15" customHeight="1" x14ac:dyDescent="0.3">
      <c r="A11" s="6" t="s">
        <v>510</v>
      </c>
      <c r="B11" s="6" t="s">
        <v>71</v>
      </c>
      <c r="C11" s="8">
        <v>337.7</v>
      </c>
      <c r="D11" s="14">
        <v>7.4885844748858399E-2</v>
      </c>
      <c r="E11" s="15">
        <v>5.24193548387097E-2</v>
      </c>
      <c r="F11" s="18">
        <v>0.91815476190476197</v>
      </c>
      <c r="G11" s="16" t="s">
        <v>534</v>
      </c>
      <c r="H11" s="16" t="s">
        <v>534</v>
      </c>
      <c r="I11" s="16" t="s">
        <v>534</v>
      </c>
      <c r="J11" s="16" t="s">
        <v>534</v>
      </c>
      <c r="K11" s="16" t="s">
        <v>534</v>
      </c>
      <c r="L11" s="16" t="s">
        <v>534</v>
      </c>
      <c r="M11" s="16" t="s">
        <v>534</v>
      </c>
      <c r="N11" s="16" t="s">
        <v>534</v>
      </c>
      <c r="O11" s="16" t="s">
        <v>534</v>
      </c>
      <c r="P11" s="16" t="s">
        <v>534</v>
      </c>
      <c r="Q11" s="17" t="s">
        <v>535</v>
      </c>
    </row>
    <row r="12" spans="1:17" ht="15" customHeight="1" x14ac:dyDescent="0.3">
      <c r="A12" s="6" t="s">
        <v>520</v>
      </c>
      <c r="B12" s="6" t="s">
        <v>508</v>
      </c>
      <c r="C12" s="8">
        <v>327.3</v>
      </c>
      <c r="D12" s="14">
        <v>1.8378995433789999E-2</v>
      </c>
      <c r="E12" s="19"/>
      <c r="F12" s="15">
        <v>0.233630952380952</v>
      </c>
      <c r="G12" s="15">
        <v>5.3763440860215101E-3</v>
      </c>
      <c r="H12" s="16" t="s">
        <v>534</v>
      </c>
      <c r="I12" s="16" t="s">
        <v>534</v>
      </c>
      <c r="J12" s="16" t="s">
        <v>534</v>
      </c>
      <c r="K12" s="16" t="s">
        <v>534</v>
      </c>
      <c r="L12" s="16" t="s">
        <v>534</v>
      </c>
      <c r="M12" s="16" t="s">
        <v>534</v>
      </c>
      <c r="N12" s="16" t="s">
        <v>534</v>
      </c>
      <c r="O12" s="16" t="s">
        <v>534</v>
      </c>
      <c r="P12" s="16" t="s">
        <v>534</v>
      </c>
      <c r="Q12" s="17" t="s">
        <v>535</v>
      </c>
    </row>
    <row r="13" spans="1:17" ht="15" customHeight="1" x14ac:dyDescent="0.3">
      <c r="A13" s="6" t="s">
        <v>492</v>
      </c>
      <c r="B13" s="6" t="s">
        <v>71</v>
      </c>
      <c r="C13" s="8">
        <v>324.5</v>
      </c>
      <c r="D13" s="14">
        <v>0.110844748858448</v>
      </c>
      <c r="E13" s="18">
        <v>0.94086021505376405</v>
      </c>
      <c r="F13" s="15">
        <v>0.40327380952380998</v>
      </c>
      <c r="G13" s="16" t="s">
        <v>534</v>
      </c>
      <c r="H13" s="16" t="s">
        <v>534</v>
      </c>
      <c r="I13" s="16" t="s">
        <v>534</v>
      </c>
      <c r="J13" s="16" t="s">
        <v>534</v>
      </c>
      <c r="K13" s="16" t="s">
        <v>534</v>
      </c>
      <c r="L13" s="16" t="s">
        <v>534</v>
      </c>
      <c r="M13" s="16" t="s">
        <v>534</v>
      </c>
      <c r="N13" s="16" t="s">
        <v>534</v>
      </c>
      <c r="O13" s="16" t="s">
        <v>534</v>
      </c>
      <c r="P13" s="16" t="s">
        <v>534</v>
      </c>
      <c r="Q13" s="17" t="s">
        <v>535</v>
      </c>
    </row>
    <row r="14" spans="1:17" ht="15" customHeight="1" x14ac:dyDescent="0.3">
      <c r="A14" s="6" t="s">
        <v>504</v>
      </c>
      <c r="B14" s="6" t="s">
        <v>505</v>
      </c>
      <c r="C14" s="8">
        <v>306.8</v>
      </c>
      <c r="D14" s="14">
        <v>7.4543378995433798E-2</v>
      </c>
      <c r="E14" s="19"/>
      <c r="F14" s="15">
        <v>0.32142857142857201</v>
      </c>
      <c r="G14" s="20">
        <v>0.58736559139785005</v>
      </c>
      <c r="H14" s="16" t="s">
        <v>534</v>
      </c>
      <c r="I14" s="16" t="s">
        <v>534</v>
      </c>
      <c r="J14" s="16" t="s">
        <v>534</v>
      </c>
      <c r="K14" s="16" t="s">
        <v>534</v>
      </c>
      <c r="L14" s="16" t="s">
        <v>534</v>
      </c>
      <c r="M14" s="16" t="s">
        <v>534</v>
      </c>
      <c r="N14" s="16" t="s">
        <v>534</v>
      </c>
      <c r="O14" s="16" t="s">
        <v>534</v>
      </c>
      <c r="P14" s="16" t="s">
        <v>534</v>
      </c>
      <c r="Q14" s="17" t="s">
        <v>535</v>
      </c>
    </row>
    <row r="15" spans="1:17" ht="15" customHeight="1" x14ac:dyDescent="0.3">
      <c r="A15" s="6" t="s">
        <v>507</v>
      </c>
      <c r="B15" s="6" t="s">
        <v>508</v>
      </c>
      <c r="C15" s="8">
        <v>300.8</v>
      </c>
      <c r="D15" s="14">
        <v>9.0867579908675805E-2</v>
      </c>
      <c r="E15" s="19"/>
      <c r="F15" s="18">
        <v>0.85267857142857095</v>
      </c>
      <c r="G15" s="15">
        <v>0.29973118279569899</v>
      </c>
      <c r="H15" s="16" t="s">
        <v>534</v>
      </c>
      <c r="I15" s="16" t="s">
        <v>534</v>
      </c>
      <c r="J15" s="16" t="s">
        <v>534</v>
      </c>
      <c r="K15" s="16" t="s">
        <v>534</v>
      </c>
      <c r="L15" s="16" t="s">
        <v>534</v>
      </c>
      <c r="M15" s="16" t="s">
        <v>534</v>
      </c>
      <c r="N15" s="16" t="s">
        <v>534</v>
      </c>
      <c r="O15" s="16" t="s">
        <v>534</v>
      </c>
      <c r="P15" s="16" t="s">
        <v>534</v>
      </c>
      <c r="Q15" s="17" t="s">
        <v>535</v>
      </c>
    </row>
    <row r="16" spans="1:17" ht="15" customHeight="1" x14ac:dyDescent="0.3">
      <c r="A16" s="6" t="s">
        <v>484</v>
      </c>
      <c r="B16" s="6" t="s">
        <v>485</v>
      </c>
      <c r="C16" s="8">
        <v>298.5</v>
      </c>
      <c r="D16" s="14">
        <v>9.7260273972602701E-2</v>
      </c>
      <c r="E16" s="19"/>
      <c r="F16" s="20">
        <v>0.76785714285714302</v>
      </c>
      <c r="G16" s="15">
        <v>0.45161290322580599</v>
      </c>
      <c r="H16" s="16" t="s">
        <v>534</v>
      </c>
      <c r="I16" s="16" t="s">
        <v>534</v>
      </c>
      <c r="J16" s="16" t="s">
        <v>534</v>
      </c>
      <c r="K16" s="16" t="s">
        <v>534</v>
      </c>
      <c r="L16" s="16" t="s">
        <v>534</v>
      </c>
      <c r="M16" s="16" t="s">
        <v>534</v>
      </c>
      <c r="N16" s="16" t="s">
        <v>534</v>
      </c>
      <c r="O16" s="16" t="s">
        <v>534</v>
      </c>
      <c r="P16" s="16" t="s">
        <v>534</v>
      </c>
      <c r="Q16" s="17" t="s">
        <v>535</v>
      </c>
    </row>
    <row r="17" spans="1:17" ht="15" customHeight="1" x14ac:dyDescent="0.3">
      <c r="A17" s="6" t="s">
        <v>501</v>
      </c>
      <c r="B17" s="6" t="s">
        <v>502</v>
      </c>
      <c r="C17" s="8">
        <v>297.89999999999998</v>
      </c>
      <c r="D17" s="14">
        <v>2.2146118721461199E-2</v>
      </c>
      <c r="E17" s="19"/>
      <c r="F17" s="19"/>
      <c r="G17" s="15">
        <v>0.260752688172043</v>
      </c>
      <c r="H17" s="16" t="s">
        <v>534</v>
      </c>
      <c r="I17" s="16" t="s">
        <v>534</v>
      </c>
      <c r="J17" s="16" t="s">
        <v>534</v>
      </c>
      <c r="K17" s="16" t="s">
        <v>534</v>
      </c>
      <c r="L17" s="16" t="s">
        <v>534</v>
      </c>
      <c r="M17" s="16" t="s">
        <v>534</v>
      </c>
      <c r="N17" s="16" t="s">
        <v>534</v>
      </c>
      <c r="O17" s="16" t="s">
        <v>534</v>
      </c>
      <c r="P17" s="16" t="s">
        <v>534</v>
      </c>
      <c r="Q17" s="17" t="s">
        <v>535</v>
      </c>
    </row>
    <row r="18" spans="1:17" ht="15" customHeight="1" x14ac:dyDescent="0.3">
      <c r="A18" s="6" t="s">
        <v>496</v>
      </c>
      <c r="B18" s="6" t="s">
        <v>497</v>
      </c>
      <c r="C18" s="8">
        <v>294.89999999999998</v>
      </c>
      <c r="D18" s="14">
        <v>0.10707762557077601</v>
      </c>
      <c r="E18" s="19"/>
      <c r="F18" s="20">
        <v>0.65773809523809501</v>
      </c>
      <c r="G18" s="20">
        <v>0.66666666666666696</v>
      </c>
      <c r="H18" s="16" t="s">
        <v>534</v>
      </c>
      <c r="I18" s="16" t="s">
        <v>534</v>
      </c>
      <c r="J18" s="16" t="s">
        <v>534</v>
      </c>
      <c r="K18" s="16" t="s">
        <v>534</v>
      </c>
      <c r="L18" s="16" t="s">
        <v>534</v>
      </c>
      <c r="M18" s="16" t="s">
        <v>534</v>
      </c>
      <c r="N18" s="16" t="s">
        <v>534</v>
      </c>
      <c r="O18" s="16" t="s">
        <v>534</v>
      </c>
      <c r="P18" s="16" t="s">
        <v>534</v>
      </c>
      <c r="Q18" s="17" t="s">
        <v>535</v>
      </c>
    </row>
    <row r="19" spans="1:17" ht="15" customHeight="1" x14ac:dyDescent="0.3">
      <c r="A19" s="6" t="s">
        <v>511</v>
      </c>
      <c r="B19" s="6" t="s">
        <v>55</v>
      </c>
      <c r="C19" s="8">
        <v>291</v>
      </c>
      <c r="D19" s="14">
        <v>0.117694063926941</v>
      </c>
      <c r="E19" s="19"/>
      <c r="F19" s="18">
        <v>0.88541666666666696</v>
      </c>
      <c r="G19" s="20">
        <v>0.58602150537634401</v>
      </c>
      <c r="H19" s="16" t="s">
        <v>534</v>
      </c>
      <c r="I19" s="16" t="s">
        <v>534</v>
      </c>
      <c r="J19" s="16" t="s">
        <v>534</v>
      </c>
      <c r="K19" s="16" t="s">
        <v>534</v>
      </c>
      <c r="L19" s="16" t="s">
        <v>534</v>
      </c>
      <c r="M19" s="16" t="s">
        <v>534</v>
      </c>
      <c r="N19" s="16" t="s">
        <v>534</v>
      </c>
      <c r="O19" s="16" t="s">
        <v>534</v>
      </c>
      <c r="P19" s="16" t="s">
        <v>534</v>
      </c>
      <c r="Q19" s="17" t="s">
        <v>535</v>
      </c>
    </row>
    <row r="20" spans="1:17" ht="15" customHeight="1" x14ac:dyDescent="0.3">
      <c r="A20" s="6" t="s">
        <v>475</v>
      </c>
      <c r="B20" s="6" t="s">
        <v>476</v>
      </c>
      <c r="C20" s="8">
        <v>283.60000000000002</v>
      </c>
      <c r="D20" s="14">
        <v>0.22305936073059399</v>
      </c>
      <c r="E20" s="18">
        <v>1</v>
      </c>
      <c r="F20" s="18">
        <v>1</v>
      </c>
      <c r="G20" s="20">
        <v>0.72311827956989305</v>
      </c>
      <c r="H20" s="16" t="s">
        <v>534</v>
      </c>
      <c r="I20" s="16" t="s">
        <v>534</v>
      </c>
      <c r="J20" s="16" t="s">
        <v>534</v>
      </c>
      <c r="K20" s="16" t="s">
        <v>534</v>
      </c>
      <c r="L20" s="16" t="s">
        <v>534</v>
      </c>
      <c r="M20" s="16" t="s">
        <v>534</v>
      </c>
      <c r="N20" s="16" t="s">
        <v>534</v>
      </c>
      <c r="O20" s="16" t="s">
        <v>534</v>
      </c>
      <c r="P20" s="16" t="s">
        <v>534</v>
      </c>
      <c r="Q20" s="17" t="s">
        <v>535</v>
      </c>
    </row>
    <row r="21" spans="1:17" ht="15" customHeight="1" x14ac:dyDescent="0.3">
      <c r="A21" s="6" t="s">
        <v>512</v>
      </c>
      <c r="B21" s="6" t="s">
        <v>513</v>
      </c>
      <c r="C21" s="8">
        <v>278.2</v>
      </c>
      <c r="D21" s="14">
        <v>7.6141552511415495E-2</v>
      </c>
      <c r="E21" s="19"/>
      <c r="F21" s="19"/>
      <c r="G21" s="20">
        <v>0.64516129032258096</v>
      </c>
      <c r="H21" s="16" t="s">
        <v>534</v>
      </c>
      <c r="I21" s="16" t="s">
        <v>534</v>
      </c>
      <c r="J21" s="16" t="s">
        <v>534</v>
      </c>
      <c r="K21" s="16" t="s">
        <v>534</v>
      </c>
      <c r="L21" s="16" t="s">
        <v>534</v>
      </c>
      <c r="M21" s="16" t="s">
        <v>534</v>
      </c>
      <c r="N21" s="16" t="s">
        <v>534</v>
      </c>
      <c r="O21" s="16" t="s">
        <v>534</v>
      </c>
      <c r="P21" s="15">
        <v>0.25134408602150499</v>
      </c>
      <c r="Q21" s="17" t="s">
        <v>535</v>
      </c>
    </row>
    <row r="22" spans="1:17" ht="15" customHeight="1" x14ac:dyDescent="0.3">
      <c r="A22" s="6" t="s">
        <v>495</v>
      </c>
      <c r="B22" s="6" t="s">
        <v>85</v>
      </c>
      <c r="C22" s="8">
        <v>268</v>
      </c>
      <c r="D22" s="14">
        <v>0.26586757990867599</v>
      </c>
      <c r="E22" s="18">
        <v>0.93817204301075297</v>
      </c>
      <c r="F22" s="18">
        <v>0.94642857142857095</v>
      </c>
      <c r="G22" s="18">
        <v>0.98655913978494603</v>
      </c>
      <c r="H22" s="15">
        <v>0.36249999999999999</v>
      </c>
      <c r="I22" s="16" t="s">
        <v>534</v>
      </c>
      <c r="J22" s="16" t="s">
        <v>534</v>
      </c>
      <c r="K22" s="16" t="s">
        <v>534</v>
      </c>
      <c r="L22" s="16" t="s">
        <v>534</v>
      </c>
      <c r="M22" s="16" t="s">
        <v>534</v>
      </c>
      <c r="N22" s="16" t="s">
        <v>534</v>
      </c>
      <c r="O22" s="16" t="s">
        <v>534</v>
      </c>
      <c r="P22" s="16" t="s">
        <v>534</v>
      </c>
      <c r="Q22" s="17" t="s">
        <v>535</v>
      </c>
    </row>
    <row r="23" spans="1:17" ht="15" customHeight="1" x14ac:dyDescent="0.3">
      <c r="A23" s="6" t="s">
        <v>405</v>
      </c>
      <c r="B23" s="6" t="s">
        <v>406</v>
      </c>
      <c r="C23" s="8">
        <v>242.9</v>
      </c>
      <c r="D23" s="14">
        <v>0.249657534246575</v>
      </c>
      <c r="E23" s="19"/>
      <c r="F23" s="18">
        <v>0.92708333333333304</v>
      </c>
      <c r="G23" s="20">
        <v>0.71639784946236595</v>
      </c>
      <c r="H23" s="16" t="s">
        <v>534</v>
      </c>
      <c r="I23" s="16" t="s">
        <v>534</v>
      </c>
      <c r="J23" s="16" t="s">
        <v>534</v>
      </c>
      <c r="K23" s="16" t="s">
        <v>534</v>
      </c>
      <c r="L23" s="16" t="s">
        <v>534</v>
      </c>
      <c r="M23" s="16" t="s">
        <v>534</v>
      </c>
      <c r="N23" s="16" t="s">
        <v>534</v>
      </c>
      <c r="O23" s="15">
        <v>0.4</v>
      </c>
      <c r="P23" s="18">
        <v>0.99865591397849496</v>
      </c>
      <c r="Q23" s="17" t="s">
        <v>535</v>
      </c>
    </row>
    <row r="24" spans="1:17" ht="15" customHeight="1" x14ac:dyDescent="0.3">
      <c r="A24" s="6" t="s">
        <v>523</v>
      </c>
      <c r="B24" s="6" t="s">
        <v>524</v>
      </c>
      <c r="C24" s="8">
        <v>217</v>
      </c>
      <c r="D24" s="14">
        <v>7.6712328767123306E-2</v>
      </c>
      <c r="E24" s="19"/>
      <c r="F24" s="19"/>
      <c r="G24" s="19"/>
      <c r="H24" s="19"/>
      <c r="I24" s="18">
        <v>0.90322580645161299</v>
      </c>
      <c r="J24" s="16" t="s">
        <v>534</v>
      </c>
      <c r="K24" s="16" t="s">
        <v>534</v>
      </c>
      <c r="L24" s="16" t="s">
        <v>534</v>
      </c>
      <c r="M24" s="16" t="s">
        <v>534</v>
      </c>
      <c r="N24" s="16" t="s">
        <v>534</v>
      </c>
      <c r="O24" s="16" t="s">
        <v>534</v>
      </c>
      <c r="P24" s="16" t="s">
        <v>534</v>
      </c>
      <c r="Q24" s="17" t="s">
        <v>535</v>
      </c>
    </row>
    <row r="25" spans="1:17" ht="15" customHeight="1" x14ac:dyDescent="0.3">
      <c r="A25" s="6" t="s">
        <v>500</v>
      </c>
      <c r="B25" s="6" t="s">
        <v>437</v>
      </c>
      <c r="C25" s="8">
        <v>176</v>
      </c>
      <c r="D25" s="14">
        <v>0.18904109589041099</v>
      </c>
      <c r="E25" s="19"/>
      <c r="F25" s="19"/>
      <c r="G25" s="19"/>
      <c r="H25" s="19"/>
      <c r="I25" s="15">
        <v>0.35483870967741898</v>
      </c>
      <c r="J25" s="18">
        <v>1</v>
      </c>
      <c r="K25" s="18">
        <v>0.90322580645161299</v>
      </c>
      <c r="L25" s="16" t="s">
        <v>534</v>
      </c>
      <c r="M25" s="16" t="s">
        <v>534</v>
      </c>
      <c r="N25" s="16" t="s">
        <v>534</v>
      </c>
      <c r="O25" s="16" t="s">
        <v>534</v>
      </c>
      <c r="P25" s="16" t="s">
        <v>534</v>
      </c>
      <c r="Q25" s="17" t="s">
        <v>535</v>
      </c>
    </row>
    <row r="26" spans="1:17" ht="15" customHeight="1" x14ac:dyDescent="0.3">
      <c r="A26" s="6" t="s">
        <v>494</v>
      </c>
      <c r="B26" s="6" t="s">
        <v>437</v>
      </c>
      <c r="C26" s="8">
        <v>173.7</v>
      </c>
      <c r="D26" s="14">
        <v>0.19543378995433799</v>
      </c>
      <c r="E26" s="19"/>
      <c r="F26" s="19"/>
      <c r="G26" s="19"/>
      <c r="H26" s="19"/>
      <c r="I26" s="15">
        <v>0.43010752688171999</v>
      </c>
      <c r="J26" s="18">
        <v>1</v>
      </c>
      <c r="K26" s="18">
        <v>0.90322580645161299</v>
      </c>
      <c r="L26" s="16" t="s">
        <v>534</v>
      </c>
      <c r="M26" s="16" t="s">
        <v>534</v>
      </c>
      <c r="N26" s="16" t="s">
        <v>534</v>
      </c>
      <c r="O26" s="16" t="s">
        <v>534</v>
      </c>
      <c r="P26" s="16" t="s">
        <v>534</v>
      </c>
      <c r="Q26" s="17" t="s">
        <v>535</v>
      </c>
    </row>
    <row r="27" spans="1:17" ht="15" customHeight="1" x14ac:dyDescent="0.3">
      <c r="A27" s="6" t="s">
        <v>499</v>
      </c>
      <c r="B27" s="6" t="s">
        <v>348</v>
      </c>
      <c r="C27" s="8">
        <v>164</v>
      </c>
      <c r="D27" s="21">
        <v>0.55068493150684905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8">
        <v>1</v>
      </c>
      <c r="K27" s="20">
        <v>0.64516129032258096</v>
      </c>
      <c r="L27" s="16" t="s">
        <v>534</v>
      </c>
      <c r="M27" s="16" t="s">
        <v>534</v>
      </c>
      <c r="N27" s="16" t="s">
        <v>534</v>
      </c>
      <c r="O27" s="16" t="s">
        <v>534</v>
      </c>
      <c r="P27" s="16" t="s">
        <v>534</v>
      </c>
      <c r="Q27" s="17" t="s">
        <v>535</v>
      </c>
    </row>
    <row r="28" spans="1:17" ht="15" customHeight="1" x14ac:dyDescent="0.3">
      <c r="A28" s="6" t="s">
        <v>410</v>
      </c>
      <c r="B28" s="6" t="s">
        <v>55</v>
      </c>
      <c r="C28" s="8">
        <v>153.1</v>
      </c>
      <c r="D28" s="21">
        <v>0.58047945205479501</v>
      </c>
      <c r="E28" s="15">
        <v>0.32258064516128998</v>
      </c>
      <c r="F28" s="20">
        <v>0.63690476190476197</v>
      </c>
      <c r="G28" s="18">
        <v>0.99462365591397905</v>
      </c>
      <c r="H28" s="20">
        <v>0.79166666666666696</v>
      </c>
      <c r="I28" s="18">
        <v>0.95161290322580705</v>
      </c>
      <c r="J28" s="15">
        <v>0.37083333333333302</v>
      </c>
      <c r="K28" s="16" t="s">
        <v>534</v>
      </c>
      <c r="L28" s="16" t="s">
        <v>534</v>
      </c>
      <c r="M28" s="16" t="s">
        <v>534</v>
      </c>
      <c r="N28" s="18">
        <v>0.89784946236559104</v>
      </c>
      <c r="O28" s="18">
        <v>1</v>
      </c>
      <c r="P28" s="18">
        <v>1</v>
      </c>
      <c r="Q28" s="17" t="s">
        <v>535</v>
      </c>
    </row>
    <row r="29" spans="1:17" ht="15" customHeight="1" x14ac:dyDescent="0.3">
      <c r="A29" s="6" t="s">
        <v>487</v>
      </c>
      <c r="B29" s="6" t="s">
        <v>461</v>
      </c>
      <c r="C29" s="8">
        <v>133.5</v>
      </c>
      <c r="D29" s="14">
        <v>0.38767123287671201</v>
      </c>
      <c r="E29" s="19"/>
      <c r="F29" s="19"/>
      <c r="G29" s="19"/>
      <c r="H29" s="18">
        <v>0.97361111111111098</v>
      </c>
      <c r="I29" s="18">
        <v>0.82526881720430101</v>
      </c>
      <c r="J29" s="16" t="s">
        <v>534</v>
      </c>
      <c r="K29" s="16" t="s">
        <v>534</v>
      </c>
      <c r="L29" s="18">
        <v>0.98521505376344098</v>
      </c>
      <c r="M29" s="18">
        <v>1</v>
      </c>
      <c r="N29" s="18">
        <v>0.84408602150537604</v>
      </c>
      <c r="O29" s="16" t="s">
        <v>534</v>
      </c>
      <c r="P29" s="16" t="s">
        <v>534</v>
      </c>
      <c r="Q29" s="17" t="s">
        <v>535</v>
      </c>
    </row>
    <row r="30" spans="1:17" ht="15" customHeight="1" x14ac:dyDescent="0.3">
      <c r="A30" s="6" t="s">
        <v>482</v>
      </c>
      <c r="B30" s="6" t="s">
        <v>367</v>
      </c>
      <c r="C30" s="8">
        <v>109</v>
      </c>
      <c r="D30" s="14">
        <v>0.28767123287671198</v>
      </c>
      <c r="E30" s="19"/>
      <c r="F30" s="19"/>
      <c r="G30" s="19"/>
      <c r="H30" s="19"/>
      <c r="I30" s="19"/>
      <c r="J30" s="18">
        <v>0.96388888888888902</v>
      </c>
      <c r="K30" s="18">
        <v>0.989247311827957</v>
      </c>
      <c r="L30" s="18">
        <v>0.93817204301075297</v>
      </c>
      <c r="M30" s="20">
        <v>0.54444444444444395</v>
      </c>
      <c r="N30" s="16" t="s">
        <v>534</v>
      </c>
      <c r="O30" s="16" t="s">
        <v>534</v>
      </c>
      <c r="P30" s="16" t="s">
        <v>534</v>
      </c>
      <c r="Q30" s="17" t="s">
        <v>535</v>
      </c>
    </row>
    <row r="31" spans="1:17" ht="15" customHeight="1" x14ac:dyDescent="0.3">
      <c r="A31" s="6" t="s">
        <v>401</v>
      </c>
      <c r="B31" s="6" t="s">
        <v>362</v>
      </c>
      <c r="C31" s="8">
        <v>103.2</v>
      </c>
      <c r="D31" s="14">
        <v>0.47077625570776299</v>
      </c>
      <c r="E31" s="19"/>
      <c r="F31" s="19"/>
      <c r="G31" s="19"/>
      <c r="H31" s="15">
        <v>0.38888888888888901</v>
      </c>
      <c r="I31" s="18">
        <v>0.91397849462365599</v>
      </c>
      <c r="J31" s="18">
        <v>0.96666666666666701</v>
      </c>
      <c r="K31" s="15">
        <v>0.41935483870967699</v>
      </c>
      <c r="L31" s="16" t="s">
        <v>534</v>
      </c>
      <c r="M31" s="16" t="s">
        <v>534</v>
      </c>
      <c r="N31" s="18">
        <v>0.93010752688172005</v>
      </c>
      <c r="O31" s="18">
        <v>1</v>
      </c>
      <c r="P31" s="18">
        <v>1</v>
      </c>
      <c r="Q31" s="17" t="s">
        <v>535</v>
      </c>
    </row>
    <row r="32" spans="1:17" ht="15" customHeight="1" x14ac:dyDescent="0.3">
      <c r="A32" s="6" t="s">
        <v>396</v>
      </c>
      <c r="B32" s="6" t="s">
        <v>397</v>
      </c>
      <c r="C32" s="8">
        <v>88.3</v>
      </c>
      <c r="D32" s="21">
        <v>0.75799086757990897</v>
      </c>
      <c r="E32" s="18">
        <v>0.84005376344086002</v>
      </c>
      <c r="F32" s="16" t="s">
        <v>534</v>
      </c>
      <c r="G32" s="16" t="s">
        <v>534</v>
      </c>
      <c r="H32" s="15">
        <v>0.38750000000000001</v>
      </c>
      <c r="I32" s="18">
        <v>0.81317204301075297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0.99327956989247301</v>
      </c>
      <c r="Q32" s="17" t="s">
        <v>535</v>
      </c>
    </row>
    <row r="33" spans="1:17" ht="15" customHeight="1" x14ac:dyDescent="0.3">
      <c r="A33" s="6" t="s">
        <v>417</v>
      </c>
      <c r="B33" s="6" t="s">
        <v>278</v>
      </c>
      <c r="C33" s="8">
        <v>86.6</v>
      </c>
      <c r="D33" s="21">
        <v>0.76267123287671201</v>
      </c>
      <c r="E33" s="18">
        <v>1</v>
      </c>
      <c r="F33" s="18">
        <v>1</v>
      </c>
      <c r="G33" s="18">
        <v>1</v>
      </c>
      <c r="H33" s="20">
        <v>0.77500000000000002</v>
      </c>
      <c r="I33" s="16" t="s">
        <v>534</v>
      </c>
      <c r="J33" s="16" t="s">
        <v>534</v>
      </c>
      <c r="K33" s="15">
        <v>0.41935483870967699</v>
      </c>
      <c r="L33" s="18">
        <v>0.99193548387096797</v>
      </c>
      <c r="M33" s="18">
        <v>1</v>
      </c>
      <c r="N33" s="18">
        <v>1</v>
      </c>
      <c r="O33" s="18">
        <v>1</v>
      </c>
      <c r="P33" s="18">
        <v>0.97983870967741904</v>
      </c>
      <c r="Q33" s="17" t="s">
        <v>535</v>
      </c>
    </row>
    <row r="34" spans="1:17" ht="15" customHeight="1" x14ac:dyDescent="0.3">
      <c r="A34" s="6" t="s">
        <v>345</v>
      </c>
      <c r="B34" s="6" t="s">
        <v>135</v>
      </c>
      <c r="C34" s="8">
        <v>83.5</v>
      </c>
      <c r="D34" s="21">
        <v>0.77134703196346999</v>
      </c>
      <c r="E34" s="18">
        <v>1</v>
      </c>
      <c r="F34" s="18">
        <v>0.86160714285714302</v>
      </c>
      <c r="G34" s="18">
        <v>0.80376344086021501</v>
      </c>
      <c r="H34" s="20">
        <v>0.58194444444444504</v>
      </c>
      <c r="I34" s="20">
        <v>0.63306451612903203</v>
      </c>
      <c r="J34" s="20">
        <v>0.5625</v>
      </c>
      <c r="K34" s="15">
        <v>0.37903225806451601</v>
      </c>
      <c r="L34" s="15">
        <v>0.44489247311828001</v>
      </c>
      <c r="M34" s="18">
        <v>1</v>
      </c>
      <c r="N34" s="18">
        <v>1</v>
      </c>
      <c r="O34" s="18">
        <v>1</v>
      </c>
      <c r="P34" s="18">
        <v>1</v>
      </c>
      <c r="Q34" s="17" t="s">
        <v>536</v>
      </c>
    </row>
    <row r="35" spans="1:17" ht="15" customHeight="1" x14ac:dyDescent="0.3">
      <c r="A35" s="6" t="s">
        <v>412</v>
      </c>
      <c r="B35" s="6" t="s">
        <v>275</v>
      </c>
      <c r="C35" s="8">
        <v>83</v>
      </c>
      <c r="D35" s="21">
        <v>0.772488584474886</v>
      </c>
      <c r="E35" s="18">
        <v>1</v>
      </c>
      <c r="F35" s="18">
        <v>0.96428571428571397</v>
      </c>
      <c r="G35" s="20">
        <v>0.60215053763440896</v>
      </c>
      <c r="H35" s="15">
        <v>0.11944444444444501</v>
      </c>
      <c r="I35" s="15">
        <v>0.13172043010752699</v>
      </c>
      <c r="J35" s="20">
        <v>0.55416666666666703</v>
      </c>
      <c r="K35" s="18">
        <v>1</v>
      </c>
      <c r="L35" s="18">
        <v>0.93548387096774199</v>
      </c>
      <c r="M35" s="18">
        <v>1</v>
      </c>
      <c r="N35" s="18">
        <v>1</v>
      </c>
      <c r="O35" s="18">
        <v>1</v>
      </c>
      <c r="P35" s="18">
        <v>0.967741935483871</v>
      </c>
      <c r="Q35" s="17" t="s">
        <v>536</v>
      </c>
    </row>
    <row r="36" spans="1:17" ht="15" customHeight="1" x14ac:dyDescent="0.3">
      <c r="A36" s="6" t="s">
        <v>491</v>
      </c>
      <c r="B36" s="6" t="s">
        <v>348</v>
      </c>
      <c r="C36" s="8">
        <v>77</v>
      </c>
      <c r="D36" s="21">
        <v>0.78904109589041105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0.8</v>
      </c>
      <c r="K36" s="20">
        <v>0.70967741935483897</v>
      </c>
      <c r="L36" s="18">
        <v>1</v>
      </c>
      <c r="M36" s="18">
        <v>1</v>
      </c>
      <c r="N36" s="18">
        <v>0.967741935483871</v>
      </c>
      <c r="O36" s="16" t="s">
        <v>534</v>
      </c>
      <c r="P36" s="16" t="s">
        <v>534</v>
      </c>
      <c r="Q36" s="17" t="s">
        <v>535</v>
      </c>
    </row>
    <row r="37" spans="1:17" ht="15" customHeight="1" x14ac:dyDescent="0.3">
      <c r="A37" s="6" t="s">
        <v>342</v>
      </c>
      <c r="B37" s="6" t="s">
        <v>135</v>
      </c>
      <c r="C37" s="8">
        <v>72.5</v>
      </c>
      <c r="D37" s="22">
        <v>0.80125570776255695</v>
      </c>
      <c r="E37" s="18">
        <v>1</v>
      </c>
      <c r="F37" s="20">
        <v>0.75892857142857095</v>
      </c>
      <c r="G37" s="20">
        <v>0.79569892473118298</v>
      </c>
      <c r="H37" s="15">
        <v>0.39305555555555599</v>
      </c>
      <c r="I37" s="20">
        <v>0.56451612903225801</v>
      </c>
      <c r="J37" s="20">
        <v>0.73472222222222205</v>
      </c>
      <c r="K37" s="20">
        <v>0.63037634408602194</v>
      </c>
      <c r="L37" s="20">
        <v>0.73118279569892497</v>
      </c>
      <c r="M37" s="18">
        <v>1</v>
      </c>
      <c r="N37" s="18">
        <v>1</v>
      </c>
      <c r="O37" s="18">
        <v>1</v>
      </c>
      <c r="P37" s="18">
        <v>1</v>
      </c>
      <c r="Q37" s="17" t="s">
        <v>536</v>
      </c>
    </row>
    <row r="38" spans="1:17" ht="15" customHeight="1" x14ac:dyDescent="0.3">
      <c r="A38" s="6" t="s">
        <v>419</v>
      </c>
      <c r="B38" s="6" t="s">
        <v>322</v>
      </c>
      <c r="C38" s="8">
        <v>70.8</v>
      </c>
      <c r="D38" s="22">
        <v>0.80593607305936099</v>
      </c>
      <c r="E38" s="15">
        <v>4.70430107526882E-2</v>
      </c>
      <c r="F38" s="18">
        <v>0.92857142857142905</v>
      </c>
      <c r="G38" s="15">
        <v>0.102150537634409</v>
      </c>
      <c r="H38" s="20">
        <v>0.65138888888888902</v>
      </c>
      <c r="I38" s="18">
        <v>0.97446236559139798</v>
      </c>
      <c r="J38" s="18">
        <v>0.99305555555555602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7" t="s">
        <v>536</v>
      </c>
    </row>
    <row r="39" spans="1:17" ht="15" customHeight="1" x14ac:dyDescent="0.3">
      <c r="A39" s="6" t="s">
        <v>82</v>
      </c>
      <c r="B39" s="6" t="s">
        <v>33</v>
      </c>
      <c r="C39" s="8">
        <v>67.400000000000006</v>
      </c>
      <c r="D39" s="22">
        <v>0.81541095890410997</v>
      </c>
      <c r="E39" s="20">
        <v>0.61827956989247301</v>
      </c>
      <c r="F39" s="20">
        <v>0.69345238095238104</v>
      </c>
      <c r="G39" s="20">
        <v>0.56317204301075297</v>
      </c>
      <c r="H39" s="20">
        <v>0.77500000000000002</v>
      </c>
      <c r="I39" s="20">
        <v>0.63709677419354804</v>
      </c>
      <c r="J39" s="20">
        <v>0.68194444444444502</v>
      </c>
      <c r="K39" s="18">
        <v>0.99865591397849496</v>
      </c>
      <c r="L39" s="18">
        <v>0.81720430107526898</v>
      </c>
      <c r="M39" s="18">
        <v>1</v>
      </c>
      <c r="N39" s="18">
        <v>0.99731182795698903</v>
      </c>
      <c r="O39" s="18">
        <v>0.99722222222222201</v>
      </c>
      <c r="P39" s="18">
        <v>1</v>
      </c>
      <c r="Q39" s="19"/>
    </row>
    <row r="40" spans="1:17" ht="15" customHeight="1" x14ac:dyDescent="0.3">
      <c r="A40" s="6" t="s">
        <v>421</v>
      </c>
      <c r="B40" s="6" t="s">
        <v>311</v>
      </c>
      <c r="C40" s="8">
        <v>66</v>
      </c>
      <c r="D40" s="22">
        <v>0.81906392694063901</v>
      </c>
      <c r="E40" s="18">
        <v>0.99596774193548399</v>
      </c>
      <c r="F40" s="18">
        <v>0.96428571428571397</v>
      </c>
      <c r="G40" s="18">
        <v>0.93951612903225801</v>
      </c>
      <c r="H40" s="18">
        <v>0.95694444444444504</v>
      </c>
      <c r="I40" s="18">
        <v>0.99462365591397905</v>
      </c>
      <c r="J40" s="16" t="s">
        <v>534</v>
      </c>
      <c r="K40" s="18">
        <v>1</v>
      </c>
      <c r="L40" s="18">
        <v>0.98118279569892497</v>
      </c>
      <c r="M40" s="18">
        <v>1</v>
      </c>
      <c r="N40" s="16" t="s">
        <v>534</v>
      </c>
      <c r="O40" s="18">
        <v>1</v>
      </c>
      <c r="P40" s="18">
        <v>1</v>
      </c>
      <c r="Q40" s="17" t="s">
        <v>535</v>
      </c>
    </row>
    <row r="41" spans="1:17" ht="15" customHeight="1" x14ac:dyDescent="0.3">
      <c r="A41" s="6" t="s">
        <v>381</v>
      </c>
      <c r="B41" s="6" t="s">
        <v>68</v>
      </c>
      <c r="C41" s="8">
        <v>63.7</v>
      </c>
      <c r="D41" s="22">
        <v>0.82557077625570796</v>
      </c>
      <c r="E41" s="15">
        <v>9.6774193548387094E-2</v>
      </c>
      <c r="F41" s="18">
        <v>0.95535714285714302</v>
      </c>
      <c r="G41" s="18">
        <v>0.918010752688172</v>
      </c>
      <c r="H41" s="20">
        <v>0.65833333333333299</v>
      </c>
      <c r="I41" s="20">
        <v>0.61827956989247301</v>
      </c>
      <c r="J41" s="18">
        <v>0.83750000000000002</v>
      </c>
      <c r="K41" s="18">
        <v>0.84139784946236595</v>
      </c>
      <c r="L41" s="18">
        <v>1</v>
      </c>
      <c r="M41" s="18">
        <v>1</v>
      </c>
      <c r="N41" s="18">
        <v>1</v>
      </c>
      <c r="O41" s="18">
        <v>1</v>
      </c>
      <c r="P41" s="18">
        <v>1</v>
      </c>
      <c r="Q41" s="17" t="s">
        <v>536</v>
      </c>
    </row>
    <row r="42" spans="1:17" ht="15" customHeight="1" x14ac:dyDescent="0.3">
      <c r="A42" s="6" t="s">
        <v>424</v>
      </c>
      <c r="B42" s="6" t="s">
        <v>299</v>
      </c>
      <c r="C42" s="8">
        <v>62.8</v>
      </c>
      <c r="D42" s="22">
        <v>0.82808219178082199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6" t="s">
        <v>534</v>
      </c>
      <c r="L42" s="16" t="s">
        <v>534</v>
      </c>
      <c r="M42" s="18">
        <v>1</v>
      </c>
      <c r="N42" s="18">
        <v>0.97580645161290303</v>
      </c>
      <c r="O42" s="18">
        <v>1</v>
      </c>
      <c r="P42" s="18">
        <v>1</v>
      </c>
      <c r="Q42" s="17" t="s">
        <v>535</v>
      </c>
    </row>
    <row r="43" spans="1:17" ht="15" customHeight="1" x14ac:dyDescent="0.3">
      <c r="A43" s="6" t="s">
        <v>415</v>
      </c>
      <c r="B43" s="6" t="s">
        <v>263</v>
      </c>
      <c r="C43" s="8">
        <v>57.8</v>
      </c>
      <c r="D43" s="22">
        <v>0.84178082191780801</v>
      </c>
      <c r="E43" s="18">
        <v>1</v>
      </c>
      <c r="F43" s="18">
        <v>1</v>
      </c>
      <c r="G43" s="18">
        <v>1</v>
      </c>
      <c r="H43" s="20">
        <v>0.50833333333333297</v>
      </c>
      <c r="I43" s="16" t="s">
        <v>534</v>
      </c>
      <c r="J43" s="20">
        <v>0.6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8">
        <v>1</v>
      </c>
      <c r="Q43" s="17" t="s">
        <v>535</v>
      </c>
    </row>
    <row r="44" spans="1:17" ht="15" customHeight="1" x14ac:dyDescent="0.3">
      <c r="A44" s="6" t="s">
        <v>166</v>
      </c>
      <c r="B44" s="6" t="s">
        <v>153</v>
      </c>
      <c r="C44" s="8">
        <v>51.5</v>
      </c>
      <c r="D44" s="22">
        <v>0.85901826484018295</v>
      </c>
      <c r="E44" s="18">
        <v>0.88306451612903203</v>
      </c>
      <c r="F44" s="18">
        <v>0.94940476190476197</v>
      </c>
      <c r="G44" s="18">
        <v>1</v>
      </c>
      <c r="H44" s="18">
        <v>0.97777777777777797</v>
      </c>
      <c r="I44" s="18">
        <v>0.86962365591397905</v>
      </c>
      <c r="J44" s="20">
        <v>0.5</v>
      </c>
      <c r="K44" s="20">
        <v>0.71102150537634401</v>
      </c>
      <c r="L44" s="18">
        <v>0.80913978494623695</v>
      </c>
      <c r="M44" s="18">
        <v>0.94305555555555598</v>
      </c>
      <c r="N44" s="18">
        <v>1</v>
      </c>
      <c r="O44" s="18">
        <v>0.99861111111111101</v>
      </c>
      <c r="P44" s="20">
        <v>0.67473118279569899</v>
      </c>
      <c r="Q44" s="17" t="s">
        <v>536</v>
      </c>
    </row>
    <row r="45" spans="1:17" ht="15" customHeight="1" x14ac:dyDescent="0.3">
      <c r="A45" s="6" t="s">
        <v>395</v>
      </c>
      <c r="B45" s="6" t="s">
        <v>392</v>
      </c>
      <c r="C45" s="8">
        <v>49.2</v>
      </c>
      <c r="D45" s="22">
        <v>0.86506849315068501</v>
      </c>
      <c r="E45" s="18">
        <v>1</v>
      </c>
      <c r="F45" s="18">
        <v>1</v>
      </c>
      <c r="G45" s="18">
        <v>1</v>
      </c>
      <c r="H45" s="18">
        <v>1</v>
      </c>
      <c r="I45" s="18">
        <v>1</v>
      </c>
      <c r="J45" s="18">
        <v>1</v>
      </c>
      <c r="K45" s="15">
        <v>0.12903225806451599</v>
      </c>
      <c r="L45" s="18">
        <v>0.86559139784946204</v>
      </c>
      <c r="M45" s="20">
        <v>0.69722222222222197</v>
      </c>
      <c r="N45" s="20">
        <v>0.70967741935483897</v>
      </c>
      <c r="O45" s="18">
        <v>1</v>
      </c>
      <c r="P45" s="18">
        <v>1</v>
      </c>
      <c r="Q45" s="17" t="s">
        <v>536</v>
      </c>
    </row>
    <row r="46" spans="1:17" ht="15" customHeight="1" x14ac:dyDescent="0.3">
      <c r="A46" s="6" t="s">
        <v>483</v>
      </c>
      <c r="B46" s="6" t="s">
        <v>348</v>
      </c>
      <c r="C46" s="8">
        <v>44.9</v>
      </c>
      <c r="D46" s="22">
        <v>0.87705479452054802</v>
      </c>
      <c r="E46" s="18">
        <v>0.99059139784946204</v>
      </c>
      <c r="F46" s="18">
        <v>0.97916666666666696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0">
        <v>0.56666666666666698</v>
      </c>
      <c r="P46" s="16" t="s">
        <v>534</v>
      </c>
      <c r="Q46" s="17" t="s">
        <v>535</v>
      </c>
    </row>
    <row r="47" spans="1:17" ht="15" customHeight="1" x14ac:dyDescent="0.3">
      <c r="A47" s="6" t="s">
        <v>338</v>
      </c>
      <c r="B47" s="6" t="s">
        <v>100</v>
      </c>
      <c r="C47" s="8">
        <v>44.2</v>
      </c>
      <c r="D47" s="22">
        <v>0.87876712328767104</v>
      </c>
      <c r="E47" s="18">
        <v>1</v>
      </c>
      <c r="F47" s="18">
        <v>0.81398809523809501</v>
      </c>
      <c r="G47" s="18">
        <v>0.90188172043010795</v>
      </c>
      <c r="H47" s="18">
        <v>1</v>
      </c>
      <c r="I47" s="18">
        <v>1</v>
      </c>
      <c r="J47" s="18">
        <v>1</v>
      </c>
      <c r="K47" s="18">
        <v>0.93010752688172005</v>
      </c>
      <c r="L47" s="18">
        <v>0.85752688172043001</v>
      </c>
      <c r="M47" s="18">
        <v>1</v>
      </c>
      <c r="N47" s="18">
        <v>1</v>
      </c>
      <c r="O47" s="20">
        <v>0.63333333333333297</v>
      </c>
      <c r="P47" s="15">
        <v>0.40591397849462402</v>
      </c>
      <c r="Q47" s="17" t="s">
        <v>536</v>
      </c>
    </row>
    <row r="48" spans="1:17" ht="15" customHeight="1" x14ac:dyDescent="0.3">
      <c r="A48" s="6" t="s">
        <v>180</v>
      </c>
      <c r="B48" s="6" t="s">
        <v>135</v>
      </c>
      <c r="C48" s="8">
        <v>44</v>
      </c>
      <c r="D48" s="22">
        <v>0.87945205479452104</v>
      </c>
      <c r="E48" s="18">
        <v>1</v>
      </c>
      <c r="F48" s="18">
        <v>0.85565476190476197</v>
      </c>
      <c r="G48" s="18">
        <v>0.86559139784946204</v>
      </c>
      <c r="H48" s="20">
        <v>0.71111111111111103</v>
      </c>
      <c r="I48" s="20">
        <v>0.65053763440860202</v>
      </c>
      <c r="J48" s="18">
        <v>0.80416666666666703</v>
      </c>
      <c r="K48" s="20">
        <v>0.79032258064516103</v>
      </c>
      <c r="L48" s="18">
        <v>0.87365591397849496</v>
      </c>
      <c r="M48" s="18">
        <v>1</v>
      </c>
      <c r="N48" s="18">
        <v>1</v>
      </c>
      <c r="O48" s="18">
        <v>1</v>
      </c>
      <c r="P48" s="18">
        <v>1</v>
      </c>
      <c r="Q48" s="19"/>
    </row>
    <row r="49" spans="1:17" ht="15" customHeight="1" x14ac:dyDescent="0.3">
      <c r="A49" s="6" t="s">
        <v>374</v>
      </c>
      <c r="B49" s="6" t="s">
        <v>375</v>
      </c>
      <c r="C49" s="8">
        <v>43.5</v>
      </c>
      <c r="D49" s="22">
        <v>0.88082191780821895</v>
      </c>
      <c r="E49" s="15">
        <v>0.17741935483870999</v>
      </c>
      <c r="F49" s="20">
        <v>0.53571428571428603</v>
      </c>
      <c r="G49" s="18">
        <v>0.92204301075268802</v>
      </c>
      <c r="H49" s="18">
        <v>0.99444444444444502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0.92204301075268802</v>
      </c>
      <c r="Q49" s="19"/>
    </row>
    <row r="50" spans="1:17" ht="15" customHeight="1" x14ac:dyDescent="0.3">
      <c r="A50" s="6" t="s">
        <v>493</v>
      </c>
      <c r="B50" s="6" t="s">
        <v>272</v>
      </c>
      <c r="C50" s="8">
        <v>42.8</v>
      </c>
      <c r="D50" s="22">
        <v>0.88264840182648396</v>
      </c>
      <c r="E50" s="18">
        <v>1</v>
      </c>
      <c r="F50" s="18">
        <v>1</v>
      </c>
      <c r="G50" s="18">
        <v>0.967741935483871</v>
      </c>
      <c r="H50" s="18">
        <v>1</v>
      </c>
      <c r="I50" s="18">
        <v>1</v>
      </c>
      <c r="J50" s="18">
        <v>0.95</v>
      </c>
      <c r="K50" s="20">
        <v>0.77419354838709697</v>
      </c>
      <c r="L50" s="18">
        <v>0.989247311827957</v>
      </c>
      <c r="M50" s="18">
        <v>0.8</v>
      </c>
      <c r="N50" s="18">
        <v>1</v>
      </c>
      <c r="O50" s="18">
        <v>0.96666666666666701</v>
      </c>
      <c r="P50" s="15">
        <v>0.16129032258064499</v>
      </c>
      <c r="Q50" s="17" t="s">
        <v>536</v>
      </c>
    </row>
    <row r="51" spans="1:17" ht="15" customHeight="1" x14ac:dyDescent="0.3">
      <c r="A51" s="6" t="s">
        <v>336</v>
      </c>
      <c r="B51" s="6" t="s">
        <v>299</v>
      </c>
      <c r="C51" s="8">
        <v>38.9</v>
      </c>
      <c r="D51" s="22">
        <v>0.89349315068493196</v>
      </c>
      <c r="E51" s="18">
        <v>1</v>
      </c>
      <c r="F51" s="18">
        <v>1</v>
      </c>
      <c r="G51" s="18">
        <v>0.82661290322580705</v>
      </c>
      <c r="H51" s="20">
        <v>0.593055555555556</v>
      </c>
      <c r="I51" s="15">
        <v>0.489247311827957</v>
      </c>
      <c r="J51" s="18">
        <v>0.90416666666666701</v>
      </c>
      <c r="K51" s="18">
        <v>1</v>
      </c>
      <c r="L51" s="18">
        <v>0.989247311827957</v>
      </c>
      <c r="M51" s="18">
        <v>1</v>
      </c>
      <c r="N51" s="18">
        <v>0.99193548387096797</v>
      </c>
      <c r="O51" s="18">
        <v>1</v>
      </c>
      <c r="P51" s="18">
        <v>0.93548387096774199</v>
      </c>
      <c r="Q51" s="17" t="s">
        <v>536</v>
      </c>
    </row>
    <row r="52" spans="1:17" ht="15" customHeight="1" x14ac:dyDescent="0.3">
      <c r="A52" s="6" t="s">
        <v>53</v>
      </c>
      <c r="B52" s="6" t="s">
        <v>33</v>
      </c>
      <c r="C52" s="8">
        <v>38.200000000000003</v>
      </c>
      <c r="D52" s="22">
        <v>0.89543378995433798</v>
      </c>
      <c r="E52" s="18">
        <v>1</v>
      </c>
      <c r="F52" s="18">
        <v>0.99702380952380998</v>
      </c>
      <c r="G52" s="20">
        <v>0.67069892473118298</v>
      </c>
      <c r="H52" s="20">
        <v>0.76805555555555605</v>
      </c>
      <c r="I52" s="20">
        <v>0.66532258064516103</v>
      </c>
      <c r="J52" s="20">
        <v>0.73888888888888904</v>
      </c>
      <c r="K52" s="18">
        <v>0.99865591397849496</v>
      </c>
      <c r="L52" s="18">
        <v>0.93145161290322598</v>
      </c>
      <c r="M52" s="18">
        <v>1</v>
      </c>
      <c r="N52" s="18">
        <v>0.98521505376344098</v>
      </c>
      <c r="O52" s="18">
        <v>0.99722222222222201</v>
      </c>
      <c r="P52" s="18">
        <v>1</v>
      </c>
      <c r="Q52" s="17" t="s">
        <v>536</v>
      </c>
    </row>
    <row r="53" spans="1:17" ht="15" customHeight="1" x14ac:dyDescent="0.3">
      <c r="A53" s="6" t="s">
        <v>197</v>
      </c>
      <c r="B53" s="6" t="s">
        <v>198</v>
      </c>
      <c r="C53" s="8">
        <v>38.1</v>
      </c>
      <c r="D53" s="22">
        <v>0.89566210045662098</v>
      </c>
      <c r="E53" s="18">
        <v>1</v>
      </c>
      <c r="F53" s="18">
        <v>1</v>
      </c>
      <c r="G53" s="18">
        <v>0.83870967741935498</v>
      </c>
      <c r="H53" s="18">
        <v>1</v>
      </c>
      <c r="I53" s="18">
        <v>1</v>
      </c>
      <c r="J53" s="18">
        <v>1</v>
      </c>
      <c r="K53" s="18">
        <v>0.98387096774193605</v>
      </c>
      <c r="L53" s="15">
        <v>0.36827956989247301</v>
      </c>
      <c r="M53" s="18">
        <v>0.91388888888888897</v>
      </c>
      <c r="N53" s="18">
        <v>0.89247311827956999</v>
      </c>
      <c r="O53" s="18">
        <v>0.87777777777777799</v>
      </c>
      <c r="P53" s="18">
        <v>0.88978494623655902</v>
      </c>
      <c r="Q53" s="17" t="s">
        <v>536</v>
      </c>
    </row>
    <row r="54" spans="1:17" ht="15" customHeight="1" x14ac:dyDescent="0.3">
      <c r="A54" s="6" t="s">
        <v>332</v>
      </c>
      <c r="B54" s="6" t="s">
        <v>85</v>
      </c>
      <c r="C54" s="8">
        <v>37.799999999999997</v>
      </c>
      <c r="D54" s="22">
        <v>0.89634703196346999</v>
      </c>
      <c r="E54" s="15">
        <v>0.478494623655914</v>
      </c>
      <c r="F54" s="18">
        <v>0.98214285714285698</v>
      </c>
      <c r="G54" s="18">
        <v>0.98655913978494603</v>
      </c>
      <c r="H54" s="18">
        <v>0.98333333333333295</v>
      </c>
      <c r="I54" s="18">
        <v>0.80645161290322598</v>
      </c>
      <c r="J54" s="18">
        <v>0.86805555555555602</v>
      </c>
      <c r="K54" s="18">
        <v>0.89381720430107503</v>
      </c>
      <c r="L54" s="18">
        <v>0.967741935483871</v>
      </c>
      <c r="M54" s="18">
        <v>0.89444444444444504</v>
      </c>
      <c r="N54" s="18">
        <v>0.99731182795698903</v>
      </c>
      <c r="O54" s="18">
        <v>1</v>
      </c>
      <c r="P54" s="18">
        <v>0.91129032258064502</v>
      </c>
      <c r="Q54" s="19"/>
    </row>
    <row r="55" spans="1:17" ht="15" customHeight="1" x14ac:dyDescent="0.3">
      <c r="A55" s="6" t="s">
        <v>490</v>
      </c>
      <c r="B55" s="6" t="s">
        <v>85</v>
      </c>
      <c r="C55" s="8">
        <v>37.4</v>
      </c>
      <c r="D55" s="22">
        <v>0.897602739726027</v>
      </c>
      <c r="E55" s="18">
        <v>1</v>
      </c>
      <c r="F55" s="18">
        <v>0.98214285714285698</v>
      </c>
      <c r="G55" s="18">
        <v>0.98655913978494603</v>
      </c>
      <c r="H55" s="18">
        <v>0.99583333333333302</v>
      </c>
      <c r="I55" s="18">
        <v>1</v>
      </c>
      <c r="J55" s="18">
        <v>0.98055555555555596</v>
      </c>
      <c r="K55" s="18">
        <v>0.85080645161290303</v>
      </c>
      <c r="L55" s="18">
        <v>0.99596774193548399</v>
      </c>
      <c r="M55" s="18">
        <v>0.97499999999999998</v>
      </c>
      <c r="N55" s="18">
        <v>0.95967741935483897</v>
      </c>
      <c r="O55" s="18">
        <v>1</v>
      </c>
      <c r="P55" s="15">
        <v>6.4516129032258104E-2</v>
      </c>
      <c r="Q55" s="17" t="s">
        <v>536</v>
      </c>
    </row>
    <row r="56" spans="1:17" ht="15" customHeight="1" x14ac:dyDescent="0.3">
      <c r="A56" s="6" t="s">
        <v>165</v>
      </c>
      <c r="B56" s="6" t="s">
        <v>89</v>
      </c>
      <c r="C56" s="8">
        <v>37.200000000000003</v>
      </c>
      <c r="D56" s="22">
        <v>0.898059360730594</v>
      </c>
      <c r="E56" s="18">
        <v>1</v>
      </c>
      <c r="F56" s="18">
        <v>0.89732142857142905</v>
      </c>
      <c r="G56" s="18">
        <v>0.896505376344086</v>
      </c>
      <c r="H56" s="20">
        <v>0.70833333333333304</v>
      </c>
      <c r="I56" s="20">
        <v>0.70430107526881702</v>
      </c>
      <c r="J56" s="18">
        <v>0.88055555555555598</v>
      </c>
      <c r="K56" s="18">
        <v>0.93548387096774199</v>
      </c>
      <c r="L56" s="18">
        <v>0.87096774193548399</v>
      </c>
      <c r="M56" s="18">
        <v>0.9</v>
      </c>
      <c r="N56" s="18">
        <v>1</v>
      </c>
      <c r="O56" s="18">
        <v>1</v>
      </c>
      <c r="P56" s="18">
        <v>0.97983870967741904</v>
      </c>
      <c r="Q56" s="17" t="s">
        <v>536</v>
      </c>
    </row>
    <row r="57" spans="1:17" ht="15" customHeight="1" x14ac:dyDescent="0.3">
      <c r="A57" s="6" t="s">
        <v>152</v>
      </c>
      <c r="B57" s="6" t="s">
        <v>153</v>
      </c>
      <c r="C57" s="8">
        <v>36.700000000000003</v>
      </c>
      <c r="D57" s="22">
        <v>0.89954337899543402</v>
      </c>
      <c r="E57" s="18">
        <v>0.88306451612903203</v>
      </c>
      <c r="F57" s="18">
        <v>0.94494047619047605</v>
      </c>
      <c r="G57" s="18">
        <v>1</v>
      </c>
      <c r="H57" s="18">
        <v>0.95555555555555605</v>
      </c>
      <c r="I57" s="20">
        <v>0.73790322580645196</v>
      </c>
      <c r="J57" s="18">
        <v>0.86805555555555602</v>
      </c>
      <c r="K57" s="18">
        <v>0.96908602150537604</v>
      </c>
      <c r="L57" s="18">
        <v>0.80913978494623695</v>
      </c>
      <c r="M57" s="18">
        <v>0.91944444444444395</v>
      </c>
      <c r="N57" s="18">
        <v>1</v>
      </c>
      <c r="O57" s="18">
        <v>0.99861111111111101</v>
      </c>
      <c r="P57" s="20">
        <v>0.717741935483871</v>
      </c>
      <c r="Q57" s="17" t="s">
        <v>536</v>
      </c>
    </row>
    <row r="58" spans="1:17" ht="15" customHeight="1" x14ac:dyDescent="0.3">
      <c r="A58" s="6" t="s">
        <v>298</v>
      </c>
      <c r="B58" s="6" t="s">
        <v>299</v>
      </c>
      <c r="C58" s="8">
        <v>36.5</v>
      </c>
      <c r="D58" s="22">
        <v>0.89988584474885902</v>
      </c>
      <c r="E58" s="18">
        <v>1</v>
      </c>
      <c r="F58" s="18">
        <v>1</v>
      </c>
      <c r="G58" s="18">
        <v>0.83602150537634401</v>
      </c>
      <c r="H58" s="20">
        <v>0.68194444444444502</v>
      </c>
      <c r="I58" s="20">
        <v>0.60887096774193605</v>
      </c>
      <c r="J58" s="18">
        <v>0.81388888888888899</v>
      </c>
      <c r="K58" s="18">
        <v>1</v>
      </c>
      <c r="L58" s="18">
        <v>0.96102150537634401</v>
      </c>
      <c r="M58" s="18">
        <v>1</v>
      </c>
      <c r="N58" s="18">
        <v>0.967741935483871</v>
      </c>
      <c r="O58" s="18">
        <v>1</v>
      </c>
      <c r="P58" s="18">
        <v>0.93548387096774199</v>
      </c>
      <c r="Q58" s="19"/>
    </row>
    <row r="59" spans="1:17" ht="15" customHeight="1" x14ac:dyDescent="0.3">
      <c r="A59" s="6" t="s">
        <v>171</v>
      </c>
      <c r="B59" s="6" t="s">
        <v>89</v>
      </c>
      <c r="C59" s="8">
        <v>36.200000000000003</v>
      </c>
      <c r="D59" s="22">
        <v>0.90079908675799103</v>
      </c>
      <c r="E59" s="18">
        <v>0.98655913978494603</v>
      </c>
      <c r="F59" s="18">
        <v>0.96577380952380998</v>
      </c>
      <c r="G59" s="20">
        <v>0.77688172043010795</v>
      </c>
      <c r="H59" s="20">
        <v>0.63194444444444398</v>
      </c>
      <c r="I59" s="20">
        <v>0.65860215053763405</v>
      </c>
      <c r="J59" s="18">
        <v>0.85138888888888897</v>
      </c>
      <c r="K59" s="18">
        <v>0.94086021505376405</v>
      </c>
      <c r="L59" s="18">
        <v>1</v>
      </c>
      <c r="M59" s="18">
        <v>1</v>
      </c>
      <c r="N59" s="18">
        <v>1</v>
      </c>
      <c r="O59" s="18">
        <v>1</v>
      </c>
      <c r="P59" s="18">
        <v>1</v>
      </c>
      <c r="Q59" s="19"/>
    </row>
    <row r="60" spans="1:17" ht="15" customHeight="1" x14ac:dyDescent="0.3">
      <c r="A60" s="6" t="s">
        <v>333</v>
      </c>
      <c r="B60" s="6" t="s">
        <v>173</v>
      </c>
      <c r="C60" s="8">
        <v>35.4</v>
      </c>
      <c r="D60" s="22">
        <v>0.90308219178082205</v>
      </c>
      <c r="E60" s="18">
        <v>0.98655913978494603</v>
      </c>
      <c r="F60" s="18">
        <v>1</v>
      </c>
      <c r="G60" s="18">
        <v>1</v>
      </c>
      <c r="H60" s="18">
        <v>1</v>
      </c>
      <c r="I60" s="18">
        <v>1</v>
      </c>
      <c r="J60" s="18">
        <v>0.99722222222222201</v>
      </c>
      <c r="K60" s="18">
        <v>0.99462365591397905</v>
      </c>
      <c r="L60" s="18">
        <v>0.89112903225806495</v>
      </c>
      <c r="M60" s="15">
        <v>0.40277777777777801</v>
      </c>
      <c r="N60" s="18">
        <v>1</v>
      </c>
      <c r="O60" s="18">
        <v>0.96111111111111103</v>
      </c>
      <c r="P60" s="20">
        <v>0.60483870967741904</v>
      </c>
      <c r="Q60" s="17" t="s">
        <v>536</v>
      </c>
    </row>
    <row r="61" spans="1:17" ht="15" customHeight="1" x14ac:dyDescent="0.3">
      <c r="A61" s="6" t="s">
        <v>385</v>
      </c>
      <c r="B61" s="6" t="s">
        <v>386</v>
      </c>
      <c r="C61" s="8">
        <v>35.200000000000003</v>
      </c>
      <c r="D61" s="21">
        <v>0.57465753424657495</v>
      </c>
      <c r="E61" s="19"/>
      <c r="F61" s="19"/>
      <c r="G61" s="19"/>
      <c r="H61" s="19"/>
      <c r="I61" s="18">
        <v>0.89112903225806495</v>
      </c>
      <c r="J61" s="18">
        <v>1</v>
      </c>
      <c r="K61" s="15">
        <v>0.12903225806451599</v>
      </c>
      <c r="L61" s="18">
        <v>0.97043010752688197</v>
      </c>
      <c r="M61" s="18">
        <v>0.97361111111111098</v>
      </c>
      <c r="N61" s="18">
        <v>0.90322580645161299</v>
      </c>
      <c r="O61" s="18">
        <v>1</v>
      </c>
      <c r="P61" s="18">
        <v>0.99462365591397905</v>
      </c>
      <c r="Q61" s="17" t="s">
        <v>536</v>
      </c>
    </row>
    <row r="62" spans="1:17" ht="15" customHeight="1" x14ac:dyDescent="0.3">
      <c r="A62" s="6" t="s">
        <v>191</v>
      </c>
      <c r="B62" s="6" t="s">
        <v>192</v>
      </c>
      <c r="C62" s="8">
        <v>34.5</v>
      </c>
      <c r="D62" s="22">
        <v>0.90559360730593597</v>
      </c>
      <c r="E62" s="18">
        <v>1</v>
      </c>
      <c r="F62" s="18">
        <v>0.94345238095238104</v>
      </c>
      <c r="G62" s="18">
        <v>1</v>
      </c>
      <c r="H62" s="18">
        <v>0.95416666666666705</v>
      </c>
      <c r="I62" s="18">
        <v>0.95833333333333304</v>
      </c>
      <c r="J62" s="18">
        <v>0.88611111111111096</v>
      </c>
      <c r="K62" s="18">
        <v>0.98387096774193605</v>
      </c>
      <c r="L62" s="18">
        <v>1</v>
      </c>
      <c r="M62" s="18">
        <v>0.96666666666666701</v>
      </c>
      <c r="N62" s="18">
        <v>0.95967741935483897</v>
      </c>
      <c r="O62" s="20">
        <v>0.78333333333333299</v>
      </c>
      <c r="P62" s="15">
        <v>0.43413978494623701</v>
      </c>
      <c r="Q62" s="17" t="s">
        <v>536</v>
      </c>
    </row>
    <row r="63" spans="1:17" ht="15" customHeight="1" x14ac:dyDescent="0.3">
      <c r="A63" s="6" t="s">
        <v>301</v>
      </c>
      <c r="B63" s="6" t="s">
        <v>302</v>
      </c>
      <c r="C63" s="8">
        <v>34.299999999999997</v>
      </c>
      <c r="D63" s="22">
        <v>0.90605022831050197</v>
      </c>
      <c r="E63" s="15">
        <v>0.31989247311828001</v>
      </c>
      <c r="F63" s="18">
        <v>0.92857142857142905</v>
      </c>
      <c r="G63" s="18">
        <v>0.99865591397849496</v>
      </c>
      <c r="H63" s="18">
        <v>1</v>
      </c>
      <c r="I63" s="18">
        <v>1</v>
      </c>
      <c r="J63" s="18">
        <v>0.85</v>
      </c>
      <c r="K63" s="18">
        <v>1</v>
      </c>
      <c r="L63" s="18">
        <v>1</v>
      </c>
      <c r="M63" s="18">
        <v>0.97222222222222199</v>
      </c>
      <c r="N63" s="18">
        <v>0.93548387096774199</v>
      </c>
      <c r="O63" s="18">
        <v>0.95</v>
      </c>
      <c r="P63" s="18">
        <v>0.92473118279569899</v>
      </c>
      <c r="Q63" s="19"/>
    </row>
    <row r="64" spans="1:17" ht="15" customHeight="1" x14ac:dyDescent="0.3">
      <c r="A64" s="6" t="s">
        <v>391</v>
      </c>
      <c r="B64" s="6" t="s">
        <v>392</v>
      </c>
      <c r="C64" s="8">
        <v>33.799999999999997</v>
      </c>
      <c r="D64" s="22">
        <v>0.90742009132420098</v>
      </c>
      <c r="E64" s="18">
        <v>1</v>
      </c>
      <c r="F64" s="18">
        <v>1</v>
      </c>
      <c r="G64" s="18">
        <v>1</v>
      </c>
      <c r="H64" s="18">
        <v>0.97916666666666696</v>
      </c>
      <c r="I64" s="18">
        <v>1</v>
      </c>
      <c r="J64" s="18">
        <v>1</v>
      </c>
      <c r="K64" s="15">
        <v>6.4516129032258104E-2</v>
      </c>
      <c r="L64" s="18">
        <v>0.86827956989247301</v>
      </c>
      <c r="M64" s="18">
        <v>0.99722222222222201</v>
      </c>
      <c r="N64" s="18">
        <v>1</v>
      </c>
      <c r="O64" s="18">
        <v>1</v>
      </c>
      <c r="P64" s="18">
        <v>1</v>
      </c>
      <c r="Q64" s="17" t="s">
        <v>536</v>
      </c>
    </row>
    <row r="65" spans="1:17" ht="15" customHeight="1" x14ac:dyDescent="0.3">
      <c r="A65" s="6" t="s">
        <v>404</v>
      </c>
      <c r="B65" s="6" t="s">
        <v>392</v>
      </c>
      <c r="C65" s="8">
        <v>33.200000000000003</v>
      </c>
      <c r="D65" s="22">
        <v>0.908904109589041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5">
        <v>6.4516129032258104E-2</v>
      </c>
      <c r="L65" s="18">
        <v>0.86559139784946204</v>
      </c>
      <c r="M65" s="18">
        <v>0.99722222222222201</v>
      </c>
      <c r="N65" s="18">
        <v>1</v>
      </c>
      <c r="O65" s="18">
        <v>1</v>
      </c>
      <c r="P65" s="18">
        <v>1</v>
      </c>
      <c r="Q65" s="17" t="s">
        <v>536</v>
      </c>
    </row>
    <row r="66" spans="1:17" ht="15" customHeight="1" x14ac:dyDescent="0.3">
      <c r="A66" s="6" t="s">
        <v>274</v>
      </c>
      <c r="B66" s="6" t="s">
        <v>275</v>
      </c>
      <c r="C66" s="8">
        <v>32.5</v>
      </c>
      <c r="D66" s="22">
        <v>0.91095890410958902</v>
      </c>
      <c r="E66" s="18">
        <v>1</v>
      </c>
      <c r="F66" s="18">
        <v>1</v>
      </c>
      <c r="G66" s="18">
        <v>0.85483870967741904</v>
      </c>
      <c r="H66" s="20">
        <v>0.64166666666666705</v>
      </c>
      <c r="I66" s="20">
        <v>0.67204301075268802</v>
      </c>
      <c r="J66" s="20">
        <v>0.79444444444444395</v>
      </c>
      <c r="K66" s="18">
        <v>1</v>
      </c>
      <c r="L66" s="18">
        <v>1</v>
      </c>
      <c r="M66" s="18">
        <v>1</v>
      </c>
      <c r="N66" s="18">
        <v>0.98387096774193605</v>
      </c>
      <c r="O66" s="18">
        <v>1</v>
      </c>
      <c r="P66" s="18">
        <v>0.98655913978494603</v>
      </c>
      <c r="Q66" s="17" t="s">
        <v>536</v>
      </c>
    </row>
    <row r="67" spans="1:17" ht="15" customHeight="1" x14ac:dyDescent="0.3">
      <c r="A67" s="6" t="s">
        <v>329</v>
      </c>
      <c r="B67" s="6" t="s">
        <v>80</v>
      </c>
      <c r="C67" s="8">
        <v>32.200000000000003</v>
      </c>
      <c r="D67" s="22">
        <v>0.91175799086758003</v>
      </c>
      <c r="E67" s="18">
        <v>1</v>
      </c>
      <c r="F67" s="18">
        <v>1</v>
      </c>
      <c r="G67" s="18">
        <v>0.90994623655913998</v>
      </c>
      <c r="H67" s="15">
        <v>0.468055555555556</v>
      </c>
      <c r="I67" s="20">
        <v>0.61021505376344098</v>
      </c>
      <c r="J67" s="18">
        <v>0.95416666666666705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7" t="s">
        <v>536</v>
      </c>
    </row>
    <row r="68" spans="1:17" ht="15" customHeight="1" x14ac:dyDescent="0.3">
      <c r="A68" s="6" t="s">
        <v>190</v>
      </c>
      <c r="B68" s="6" t="s">
        <v>85</v>
      </c>
      <c r="C68" s="8">
        <v>32</v>
      </c>
      <c r="D68" s="22">
        <v>0.91244292237442903</v>
      </c>
      <c r="E68" s="18">
        <v>0.99193548387096797</v>
      </c>
      <c r="F68" s="18">
        <v>1</v>
      </c>
      <c r="G68" s="18">
        <v>0.98655913978494603</v>
      </c>
      <c r="H68" s="18">
        <v>0.99583333333333302</v>
      </c>
      <c r="I68" s="20">
        <v>0.69354838709677402</v>
      </c>
      <c r="J68" s="18">
        <v>0.81388888888888899</v>
      </c>
      <c r="K68" s="18">
        <v>0.83870967741935498</v>
      </c>
      <c r="L68" s="18">
        <v>0.87096774193548399</v>
      </c>
      <c r="M68" s="18">
        <v>0.95416666666666705</v>
      </c>
      <c r="N68" s="18">
        <v>0.93817204301075297</v>
      </c>
      <c r="O68" s="18">
        <v>1</v>
      </c>
      <c r="P68" s="18">
        <v>0.87768817204301097</v>
      </c>
      <c r="Q68" s="17" t="s">
        <v>536</v>
      </c>
    </row>
    <row r="69" spans="1:17" ht="15" customHeight="1" x14ac:dyDescent="0.3">
      <c r="A69" s="6" t="s">
        <v>229</v>
      </c>
      <c r="B69" s="6" t="s">
        <v>100</v>
      </c>
      <c r="C69" s="8">
        <v>29.8</v>
      </c>
      <c r="D69" s="22">
        <v>0.91849315068493198</v>
      </c>
      <c r="E69" s="18">
        <v>1</v>
      </c>
      <c r="F69" s="18">
        <v>0.87648809523809501</v>
      </c>
      <c r="G69" s="15">
        <v>0.33467741935483902</v>
      </c>
      <c r="H69" s="18">
        <v>1</v>
      </c>
      <c r="I69" s="18">
        <v>1</v>
      </c>
      <c r="J69" s="18">
        <v>1</v>
      </c>
      <c r="K69" s="18">
        <v>0.95026881720430101</v>
      </c>
      <c r="L69" s="18">
        <v>0.875</v>
      </c>
      <c r="M69" s="18">
        <v>1</v>
      </c>
      <c r="N69" s="18">
        <v>1</v>
      </c>
      <c r="O69" s="18">
        <v>0.99166666666666703</v>
      </c>
      <c r="P69" s="18">
        <v>1</v>
      </c>
      <c r="Q69" s="17" t="s">
        <v>536</v>
      </c>
    </row>
    <row r="70" spans="1:17" ht="15" customHeight="1" x14ac:dyDescent="0.3">
      <c r="A70" s="6" t="s">
        <v>479</v>
      </c>
      <c r="B70" s="6" t="s">
        <v>182</v>
      </c>
      <c r="C70" s="8">
        <v>29.2</v>
      </c>
      <c r="D70" s="22">
        <v>0.920091324200913</v>
      </c>
      <c r="E70" s="18">
        <v>1</v>
      </c>
      <c r="F70" s="18">
        <v>0.88541666666666696</v>
      </c>
      <c r="G70" s="18">
        <v>0.94354838709677402</v>
      </c>
      <c r="H70" s="18">
        <v>1</v>
      </c>
      <c r="I70" s="18">
        <v>1</v>
      </c>
      <c r="J70" s="18">
        <v>1</v>
      </c>
      <c r="K70" s="18">
        <v>0.96102150537634401</v>
      </c>
      <c r="L70" s="18">
        <v>1</v>
      </c>
      <c r="M70" s="18">
        <v>1</v>
      </c>
      <c r="N70" s="18">
        <v>1</v>
      </c>
      <c r="O70" s="18">
        <v>1</v>
      </c>
      <c r="P70" s="15">
        <v>0.25806451612903197</v>
      </c>
      <c r="Q70" s="17" t="s">
        <v>536</v>
      </c>
    </row>
    <row r="71" spans="1:17" ht="15" customHeight="1" x14ac:dyDescent="0.3">
      <c r="A71" s="6" t="s">
        <v>233</v>
      </c>
      <c r="B71" s="6" t="s">
        <v>231</v>
      </c>
      <c r="C71" s="8">
        <v>29.1</v>
      </c>
      <c r="D71" s="22">
        <v>0.920205479452055</v>
      </c>
      <c r="E71" s="18">
        <v>1</v>
      </c>
      <c r="F71" s="18">
        <v>1</v>
      </c>
      <c r="G71" s="18">
        <v>1</v>
      </c>
      <c r="H71" s="18">
        <v>1</v>
      </c>
      <c r="I71" s="18">
        <v>0.93413978494623695</v>
      </c>
      <c r="J71" s="18">
        <v>0.96666666666666701</v>
      </c>
      <c r="K71" s="18">
        <v>0.99462365591397905</v>
      </c>
      <c r="L71" s="20">
        <v>0.74462365591397905</v>
      </c>
      <c r="M71" s="18">
        <v>1</v>
      </c>
      <c r="N71" s="18">
        <v>1</v>
      </c>
      <c r="O71" s="18">
        <v>1</v>
      </c>
      <c r="P71" s="15">
        <v>0.41935483870967699</v>
      </c>
      <c r="Q71" s="17" t="s">
        <v>536</v>
      </c>
    </row>
    <row r="72" spans="1:17" ht="15" customHeight="1" x14ac:dyDescent="0.3">
      <c r="A72" s="6" t="s">
        <v>382</v>
      </c>
      <c r="B72" s="6" t="s">
        <v>315</v>
      </c>
      <c r="C72" s="8">
        <v>29.1</v>
      </c>
      <c r="D72" s="22">
        <v>0.920205479452055</v>
      </c>
      <c r="E72" s="15">
        <v>0.154569892473118</v>
      </c>
      <c r="F72" s="18">
        <v>0.97916666666666696</v>
      </c>
      <c r="G72" s="18">
        <v>1</v>
      </c>
      <c r="H72" s="18">
        <v>1</v>
      </c>
      <c r="I72" s="18">
        <v>0.94892473118279597</v>
      </c>
      <c r="J72" s="18">
        <v>1</v>
      </c>
      <c r="K72" s="18">
        <v>1</v>
      </c>
      <c r="L72" s="18">
        <v>0.97580645161290303</v>
      </c>
      <c r="M72" s="18">
        <v>1</v>
      </c>
      <c r="N72" s="18">
        <v>1</v>
      </c>
      <c r="O72" s="18">
        <v>1</v>
      </c>
      <c r="P72" s="18">
        <v>1</v>
      </c>
      <c r="Q72" s="19"/>
    </row>
    <row r="73" spans="1:17" ht="15" customHeight="1" x14ac:dyDescent="0.3">
      <c r="A73" s="6" t="s">
        <v>32</v>
      </c>
      <c r="B73" s="6" t="s">
        <v>33</v>
      </c>
      <c r="C73" s="8">
        <v>29</v>
      </c>
      <c r="D73" s="22">
        <v>0.920547945205479</v>
      </c>
      <c r="E73" s="18">
        <v>1</v>
      </c>
      <c r="F73" s="18">
        <v>0.98958333333333304</v>
      </c>
      <c r="G73" s="18">
        <v>0.86290322580645196</v>
      </c>
      <c r="H73" s="20">
        <v>0.76111111111111096</v>
      </c>
      <c r="I73" s="20">
        <v>0.75940860215053796</v>
      </c>
      <c r="J73" s="20">
        <v>0.77777777777777801</v>
      </c>
      <c r="K73" s="18">
        <v>0.99865591397849496</v>
      </c>
      <c r="L73" s="18">
        <v>0.90456989247311803</v>
      </c>
      <c r="M73" s="18">
        <v>1</v>
      </c>
      <c r="N73" s="18">
        <v>0.99731182795698903</v>
      </c>
      <c r="O73" s="18">
        <v>0.99722222222222201</v>
      </c>
      <c r="P73" s="18">
        <v>1</v>
      </c>
      <c r="Q73" s="19"/>
    </row>
    <row r="74" spans="1:17" ht="15" customHeight="1" x14ac:dyDescent="0.3">
      <c r="A74" s="6" t="s">
        <v>380</v>
      </c>
      <c r="B74" s="6" t="s">
        <v>266</v>
      </c>
      <c r="C74" s="8">
        <v>29</v>
      </c>
      <c r="D74" s="22">
        <v>0.920662100456621</v>
      </c>
      <c r="E74" s="15">
        <v>0.15322580645161299</v>
      </c>
      <c r="F74" s="18">
        <v>0.97916666666666696</v>
      </c>
      <c r="G74" s="18">
        <v>1</v>
      </c>
      <c r="H74" s="18">
        <v>1</v>
      </c>
      <c r="I74" s="18">
        <v>1</v>
      </c>
      <c r="J74" s="18">
        <v>1</v>
      </c>
      <c r="K74" s="18">
        <v>0.97177419354838701</v>
      </c>
      <c r="L74" s="18">
        <v>1</v>
      </c>
      <c r="M74" s="18">
        <v>1</v>
      </c>
      <c r="N74" s="18">
        <v>0.99462365591397905</v>
      </c>
      <c r="O74" s="18">
        <v>0.98888888888888904</v>
      </c>
      <c r="P74" s="18">
        <v>0.97580645161290303</v>
      </c>
      <c r="Q74" s="19"/>
    </row>
    <row r="75" spans="1:17" ht="15" customHeight="1" x14ac:dyDescent="0.3">
      <c r="A75" s="6" t="s">
        <v>446</v>
      </c>
      <c r="B75" s="6" t="s">
        <v>392</v>
      </c>
      <c r="C75" s="8">
        <v>28</v>
      </c>
      <c r="D75" s="14">
        <v>0.34257990867579902</v>
      </c>
      <c r="E75" s="19"/>
      <c r="F75" s="19"/>
      <c r="G75" s="19"/>
      <c r="H75" s="19"/>
      <c r="I75" s="19"/>
      <c r="J75" s="19"/>
      <c r="K75" s="19"/>
      <c r="L75" s="15">
        <v>0.33467741935483902</v>
      </c>
      <c r="M75" s="20">
        <v>0.75555555555555598</v>
      </c>
      <c r="N75" s="18">
        <v>1</v>
      </c>
      <c r="O75" s="18">
        <v>1</v>
      </c>
      <c r="P75" s="18">
        <v>1</v>
      </c>
      <c r="Q75" s="17" t="s">
        <v>537</v>
      </c>
    </row>
    <row r="76" spans="1:17" ht="15" customHeight="1" x14ac:dyDescent="0.3">
      <c r="A76" s="6" t="s">
        <v>126</v>
      </c>
      <c r="B76" s="6" t="s">
        <v>89</v>
      </c>
      <c r="C76" s="8">
        <v>26.8</v>
      </c>
      <c r="D76" s="22">
        <v>0.92671232876712295</v>
      </c>
      <c r="E76" s="18">
        <v>1</v>
      </c>
      <c r="F76" s="20">
        <v>0.796130952380952</v>
      </c>
      <c r="G76" s="18">
        <v>0.93279569892473102</v>
      </c>
      <c r="H76" s="20">
        <v>0.72638888888888897</v>
      </c>
      <c r="I76" s="20">
        <v>0.77688172043010795</v>
      </c>
      <c r="J76" s="18">
        <v>0.91249999999999998</v>
      </c>
      <c r="K76" s="18">
        <v>0.96102150537634401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9"/>
    </row>
    <row r="77" spans="1:17" ht="15" customHeight="1" x14ac:dyDescent="0.3">
      <c r="A77" s="6" t="s">
        <v>379</v>
      </c>
      <c r="B77" s="6" t="s">
        <v>169</v>
      </c>
      <c r="C77" s="8">
        <v>26.5</v>
      </c>
      <c r="D77" s="22">
        <v>0.92739726027397296</v>
      </c>
      <c r="E77" s="15">
        <v>0.25806451612903197</v>
      </c>
      <c r="F77" s="18">
        <v>0.89880952380952395</v>
      </c>
      <c r="G77" s="18">
        <v>0.98118279569892497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0.99731182795698903</v>
      </c>
      <c r="O77" s="18">
        <v>1</v>
      </c>
      <c r="P77" s="18">
        <v>1</v>
      </c>
      <c r="Q77" s="19"/>
    </row>
    <row r="78" spans="1:17" ht="15" customHeight="1" x14ac:dyDescent="0.3">
      <c r="A78" s="6" t="s">
        <v>211</v>
      </c>
      <c r="B78" s="6" t="s">
        <v>212</v>
      </c>
      <c r="C78" s="8">
        <v>26.3</v>
      </c>
      <c r="D78" s="22">
        <v>0.92796803652967996</v>
      </c>
      <c r="E78" s="18">
        <v>1</v>
      </c>
      <c r="F78" s="18">
        <v>0.95833333333333304</v>
      </c>
      <c r="G78" s="18">
        <v>1</v>
      </c>
      <c r="H78" s="18">
        <v>0.968055555555556</v>
      </c>
      <c r="I78" s="18">
        <v>0.97177419354838701</v>
      </c>
      <c r="J78" s="18">
        <v>1</v>
      </c>
      <c r="K78" s="18">
        <v>0.95564516129032295</v>
      </c>
      <c r="L78" s="15">
        <v>0.40456989247311798</v>
      </c>
      <c r="M78" s="18">
        <v>1</v>
      </c>
      <c r="N78" s="18">
        <v>0.98118279569892497</v>
      </c>
      <c r="O78" s="18">
        <v>0.98333333333333295</v>
      </c>
      <c r="P78" s="18">
        <v>0.92338709677419395</v>
      </c>
      <c r="Q78" s="17" t="s">
        <v>536</v>
      </c>
    </row>
    <row r="79" spans="1:17" ht="15" customHeight="1" x14ac:dyDescent="0.3">
      <c r="A79" s="6" t="s">
        <v>318</v>
      </c>
      <c r="B79" s="6" t="s">
        <v>95</v>
      </c>
      <c r="C79" s="8">
        <v>26</v>
      </c>
      <c r="D79" s="22">
        <v>0.92865296803652997</v>
      </c>
      <c r="E79" s="18">
        <v>1</v>
      </c>
      <c r="F79" s="18">
        <v>1</v>
      </c>
      <c r="G79" s="15">
        <v>0.42069892473118298</v>
      </c>
      <c r="H79" s="20">
        <v>0.73333333333333295</v>
      </c>
      <c r="I79" s="18">
        <v>1</v>
      </c>
      <c r="J79" s="18">
        <v>1</v>
      </c>
      <c r="K79" s="18">
        <v>0.99865591397849496</v>
      </c>
      <c r="L79" s="18">
        <v>0.99865591397849496</v>
      </c>
      <c r="M79" s="18">
        <v>1</v>
      </c>
      <c r="N79" s="18">
        <v>1</v>
      </c>
      <c r="O79" s="18">
        <v>1</v>
      </c>
      <c r="P79" s="18">
        <v>1</v>
      </c>
      <c r="Q79" s="17" t="s">
        <v>536</v>
      </c>
    </row>
    <row r="80" spans="1:17" ht="15" customHeight="1" x14ac:dyDescent="0.3">
      <c r="A80" s="6" t="s">
        <v>144</v>
      </c>
      <c r="B80" s="6" t="s">
        <v>55</v>
      </c>
      <c r="C80" s="8">
        <v>26</v>
      </c>
      <c r="D80" s="22">
        <v>0.92876712328767097</v>
      </c>
      <c r="E80" s="20">
        <v>0.71102150537634401</v>
      </c>
      <c r="F80" s="18">
        <v>0.95833333333333304</v>
      </c>
      <c r="G80" s="20">
        <v>0.76881720430107503</v>
      </c>
      <c r="H80" s="18">
        <v>0.99444444444444502</v>
      </c>
      <c r="I80" s="20">
        <v>0.77419354838709697</v>
      </c>
      <c r="J80" s="18">
        <v>0.99444444444444502</v>
      </c>
      <c r="K80" s="18">
        <v>0.99327956989247301</v>
      </c>
      <c r="L80" s="18">
        <v>1</v>
      </c>
      <c r="M80" s="18">
        <v>0.96111111111111103</v>
      </c>
      <c r="N80" s="18">
        <v>1</v>
      </c>
      <c r="O80" s="18">
        <v>1</v>
      </c>
      <c r="P80" s="18">
        <v>1</v>
      </c>
      <c r="Q80" s="19"/>
    </row>
    <row r="81" spans="1:17" ht="15" customHeight="1" x14ac:dyDescent="0.3">
      <c r="A81" s="6" t="s">
        <v>464</v>
      </c>
      <c r="B81" s="6" t="s">
        <v>454</v>
      </c>
      <c r="C81" s="8">
        <v>25.9</v>
      </c>
      <c r="D81" s="14">
        <v>0.34817351598173502</v>
      </c>
      <c r="E81" s="19"/>
      <c r="F81" s="19"/>
      <c r="G81" s="19"/>
      <c r="H81" s="19"/>
      <c r="I81" s="19"/>
      <c r="J81" s="19"/>
      <c r="K81" s="19"/>
      <c r="L81" s="15">
        <v>0.19354838709677399</v>
      </c>
      <c r="M81" s="18">
        <v>0.97916666666666696</v>
      </c>
      <c r="N81" s="18">
        <v>0.99059139784946204</v>
      </c>
      <c r="O81" s="18">
        <v>1</v>
      </c>
      <c r="P81" s="18">
        <v>1</v>
      </c>
      <c r="Q81" s="17" t="s">
        <v>537</v>
      </c>
    </row>
    <row r="82" spans="1:17" ht="15" customHeight="1" x14ac:dyDescent="0.3">
      <c r="A82" s="6" t="s">
        <v>224</v>
      </c>
      <c r="B82" s="6" t="s">
        <v>225</v>
      </c>
      <c r="C82" s="8">
        <v>25.9</v>
      </c>
      <c r="D82" s="22">
        <v>0.92910958904109597</v>
      </c>
      <c r="E82" s="18">
        <v>0.97043010752688197</v>
      </c>
      <c r="F82" s="18">
        <v>1</v>
      </c>
      <c r="G82" s="20">
        <v>0.50806451612903203</v>
      </c>
      <c r="H82" s="20">
        <v>0.780555555555556</v>
      </c>
      <c r="I82" s="18">
        <v>1</v>
      </c>
      <c r="J82" s="18">
        <v>0.99305555555555602</v>
      </c>
      <c r="K82" s="18">
        <v>0.989247311827957</v>
      </c>
      <c r="L82" s="18">
        <v>1</v>
      </c>
      <c r="M82" s="18">
        <v>1</v>
      </c>
      <c r="N82" s="18">
        <v>0.91666666666666696</v>
      </c>
      <c r="O82" s="18">
        <v>1</v>
      </c>
      <c r="P82" s="18">
        <v>1</v>
      </c>
      <c r="Q82" s="17" t="s">
        <v>536</v>
      </c>
    </row>
    <row r="83" spans="1:17" ht="15" customHeight="1" x14ac:dyDescent="0.3">
      <c r="A83" s="6" t="s">
        <v>463</v>
      </c>
      <c r="B83" s="6" t="s">
        <v>454</v>
      </c>
      <c r="C83" s="8">
        <v>25.8</v>
      </c>
      <c r="D83" s="14">
        <v>0.34863013698630102</v>
      </c>
      <c r="E83" s="19"/>
      <c r="F83" s="19"/>
      <c r="G83" s="19"/>
      <c r="H83" s="19"/>
      <c r="I83" s="19"/>
      <c r="J83" s="19"/>
      <c r="K83" s="19"/>
      <c r="L83" s="15">
        <v>0.18010752688171999</v>
      </c>
      <c r="M83" s="18">
        <v>0.98888888888888904</v>
      </c>
      <c r="N83" s="18">
        <v>1</v>
      </c>
      <c r="O83" s="18">
        <v>1</v>
      </c>
      <c r="P83" s="18">
        <v>1</v>
      </c>
      <c r="Q83" s="17" t="s">
        <v>537</v>
      </c>
    </row>
    <row r="84" spans="1:17" ht="15" customHeight="1" x14ac:dyDescent="0.3">
      <c r="A84" s="6" t="s">
        <v>481</v>
      </c>
      <c r="B84" s="6" t="s">
        <v>182</v>
      </c>
      <c r="C84" s="8">
        <v>25.8</v>
      </c>
      <c r="D84" s="22">
        <v>0.92945205479452098</v>
      </c>
      <c r="E84" s="18">
        <v>1</v>
      </c>
      <c r="F84" s="18">
        <v>0.97916666666666696</v>
      </c>
      <c r="G84" s="18">
        <v>0.98655913978494603</v>
      </c>
      <c r="H84" s="18">
        <v>1</v>
      </c>
      <c r="I84" s="18">
        <v>1</v>
      </c>
      <c r="J84" s="18">
        <v>1</v>
      </c>
      <c r="K84" s="18">
        <v>0.96102150537634401</v>
      </c>
      <c r="L84" s="18">
        <v>0.989247311827957</v>
      </c>
      <c r="M84" s="18">
        <v>1</v>
      </c>
      <c r="N84" s="18">
        <v>1</v>
      </c>
      <c r="O84" s="18">
        <v>0.99305555555555602</v>
      </c>
      <c r="P84" s="15">
        <v>0.25806451612903197</v>
      </c>
      <c r="Q84" s="17" t="s">
        <v>536</v>
      </c>
    </row>
    <row r="85" spans="1:17" ht="15" customHeight="1" x14ac:dyDescent="0.3">
      <c r="A85" s="6" t="s">
        <v>251</v>
      </c>
      <c r="B85" s="6" t="s">
        <v>132</v>
      </c>
      <c r="C85" s="8">
        <v>25.2</v>
      </c>
      <c r="D85" s="22">
        <v>0.93105022831050199</v>
      </c>
      <c r="E85" s="18">
        <v>1</v>
      </c>
      <c r="F85" s="18">
        <v>0.96428571428571397</v>
      </c>
      <c r="G85" s="18">
        <v>0.97043010752688197</v>
      </c>
      <c r="H85" s="18">
        <v>0.90972222222222199</v>
      </c>
      <c r="I85" s="15">
        <v>0.38172043010752699</v>
      </c>
      <c r="J85" s="18">
        <v>0.97499999999999998</v>
      </c>
      <c r="K85" s="18">
        <v>0.99462365591397905</v>
      </c>
      <c r="L85" s="18">
        <v>0.98521505376344098</v>
      </c>
      <c r="M85" s="18">
        <v>1</v>
      </c>
      <c r="N85" s="18">
        <v>1</v>
      </c>
      <c r="O85" s="18">
        <v>1</v>
      </c>
      <c r="P85" s="18">
        <v>1</v>
      </c>
      <c r="Q85" s="17" t="s">
        <v>536</v>
      </c>
    </row>
    <row r="86" spans="1:17" ht="15" customHeight="1" x14ac:dyDescent="0.3">
      <c r="A86" s="6" t="s">
        <v>453</v>
      </c>
      <c r="B86" s="6" t="s">
        <v>454</v>
      </c>
      <c r="C86" s="8">
        <v>24.8</v>
      </c>
      <c r="D86" s="14">
        <v>0.26632420091324199</v>
      </c>
      <c r="E86" s="19"/>
      <c r="F86" s="19"/>
      <c r="G86" s="19"/>
      <c r="H86" s="19"/>
      <c r="I86" s="19"/>
      <c r="J86" s="19"/>
      <c r="K86" s="19"/>
      <c r="L86" s="19"/>
      <c r="M86" s="15">
        <v>0.18333333333333299</v>
      </c>
      <c r="N86" s="18">
        <v>0.99059139784946204</v>
      </c>
      <c r="O86" s="18">
        <v>1</v>
      </c>
      <c r="P86" s="18">
        <v>1</v>
      </c>
      <c r="Q86" s="17" t="s">
        <v>537</v>
      </c>
    </row>
    <row r="87" spans="1:17" ht="15" customHeight="1" x14ac:dyDescent="0.3">
      <c r="A87" s="6" t="s">
        <v>98</v>
      </c>
      <c r="B87" s="6" t="s">
        <v>89</v>
      </c>
      <c r="C87" s="8">
        <v>24.6</v>
      </c>
      <c r="D87" s="22">
        <v>0.93253424657534301</v>
      </c>
      <c r="E87" s="18">
        <v>1</v>
      </c>
      <c r="F87" s="18">
        <v>0.91815476190476197</v>
      </c>
      <c r="G87" s="18">
        <v>0.99731182795698903</v>
      </c>
      <c r="H87" s="18">
        <v>0.98472222222222205</v>
      </c>
      <c r="I87" s="18">
        <v>0.885752688172043</v>
      </c>
      <c r="J87" s="18">
        <v>0.87638888888888899</v>
      </c>
      <c r="K87" s="18">
        <v>0.97043010752688197</v>
      </c>
      <c r="L87" s="18">
        <v>1</v>
      </c>
      <c r="M87" s="20">
        <v>0.7</v>
      </c>
      <c r="N87" s="18">
        <v>0.87096774193548399</v>
      </c>
      <c r="O87" s="18">
        <v>1</v>
      </c>
      <c r="P87" s="18">
        <v>0.97983870967741904</v>
      </c>
      <c r="Q87" s="17" t="s">
        <v>536</v>
      </c>
    </row>
    <row r="88" spans="1:17" ht="15" customHeight="1" x14ac:dyDescent="0.3">
      <c r="A88" s="6" t="s">
        <v>66</v>
      </c>
      <c r="B88" s="6" t="s">
        <v>62</v>
      </c>
      <c r="C88" s="8">
        <v>24.4</v>
      </c>
      <c r="D88" s="22">
        <v>0.93321917808219201</v>
      </c>
      <c r="E88" s="18">
        <v>1</v>
      </c>
      <c r="F88" s="18">
        <v>1</v>
      </c>
      <c r="G88" s="18">
        <v>1</v>
      </c>
      <c r="H88" s="18">
        <v>0.99305555555555602</v>
      </c>
      <c r="I88" s="18">
        <v>0.99865591397849496</v>
      </c>
      <c r="J88" s="18">
        <v>0.98888888888888904</v>
      </c>
      <c r="K88" s="18">
        <v>1</v>
      </c>
      <c r="L88" s="18">
        <v>1</v>
      </c>
      <c r="M88" s="20">
        <v>0.73055555555555596</v>
      </c>
      <c r="N88" s="20">
        <v>0.67069892473118298</v>
      </c>
      <c r="O88" s="18">
        <v>0.81666666666666698</v>
      </c>
      <c r="P88" s="18">
        <v>1</v>
      </c>
      <c r="Q88" s="19"/>
    </row>
    <row r="89" spans="1:17" ht="15" customHeight="1" x14ac:dyDescent="0.3">
      <c r="A89" s="6" t="s">
        <v>105</v>
      </c>
      <c r="B89" s="6" t="s">
        <v>85</v>
      </c>
      <c r="C89" s="8">
        <v>24.2</v>
      </c>
      <c r="D89" s="22">
        <v>0.93356164383561702</v>
      </c>
      <c r="E89" s="18">
        <v>0.99327956989247301</v>
      </c>
      <c r="F89" s="18">
        <v>1</v>
      </c>
      <c r="G89" s="18">
        <v>0.98655913978494603</v>
      </c>
      <c r="H89" s="18">
        <v>0.99583333333333302</v>
      </c>
      <c r="I89" s="18">
        <v>0.87903225806451601</v>
      </c>
      <c r="J89" s="18">
        <v>0.98055555555555596</v>
      </c>
      <c r="K89" s="18">
        <v>0.98655913978494603</v>
      </c>
      <c r="L89" s="20">
        <v>0.64784946236559104</v>
      </c>
      <c r="M89" s="18">
        <v>0.98333333333333295</v>
      </c>
      <c r="N89" s="18">
        <v>0.98118279569892497</v>
      </c>
      <c r="O89" s="18">
        <v>1</v>
      </c>
      <c r="P89" s="20">
        <v>0.782258064516129</v>
      </c>
      <c r="Q89" s="17" t="s">
        <v>536</v>
      </c>
    </row>
    <row r="90" spans="1:17" ht="15" customHeight="1" x14ac:dyDescent="0.3">
      <c r="A90" s="6" t="s">
        <v>237</v>
      </c>
      <c r="B90" s="6" t="s">
        <v>212</v>
      </c>
      <c r="C90" s="8">
        <v>23.9</v>
      </c>
      <c r="D90" s="22">
        <v>0.93447488584474903</v>
      </c>
      <c r="E90" s="18">
        <v>1</v>
      </c>
      <c r="F90" s="18">
        <v>0.98214285714285698</v>
      </c>
      <c r="G90" s="18">
        <v>1</v>
      </c>
      <c r="H90" s="18">
        <v>0.98333333333333295</v>
      </c>
      <c r="I90" s="18">
        <v>1</v>
      </c>
      <c r="J90" s="18">
        <v>0.99166666666666703</v>
      </c>
      <c r="K90" s="18">
        <v>1</v>
      </c>
      <c r="L90" s="18">
        <v>1</v>
      </c>
      <c r="M90" s="18">
        <v>0.85694444444444395</v>
      </c>
      <c r="N90" s="18">
        <v>0.896505376344086</v>
      </c>
      <c r="O90" s="18">
        <v>0.95277777777777795</v>
      </c>
      <c r="P90" s="20">
        <v>0.55645161290322598</v>
      </c>
      <c r="Q90" s="17" t="s">
        <v>536</v>
      </c>
    </row>
    <row r="91" spans="1:17" ht="15" customHeight="1" x14ac:dyDescent="0.3">
      <c r="A91" s="6" t="s">
        <v>54</v>
      </c>
      <c r="B91" s="6" t="s">
        <v>55</v>
      </c>
      <c r="C91" s="8">
        <v>23.8</v>
      </c>
      <c r="D91" s="22">
        <v>0.93493150684931503</v>
      </c>
      <c r="E91" s="20">
        <v>0.57526881720430101</v>
      </c>
      <c r="F91" s="20">
        <v>0.73660714285714302</v>
      </c>
      <c r="G91" s="18">
        <v>0.99462365591397905</v>
      </c>
      <c r="H91" s="18">
        <v>1</v>
      </c>
      <c r="I91" s="18">
        <v>0.95161290322580705</v>
      </c>
      <c r="J91" s="18">
        <v>0.99444444444444502</v>
      </c>
      <c r="K91" s="18">
        <v>0.99731182795698903</v>
      </c>
      <c r="L91" s="18">
        <v>1</v>
      </c>
      <c r="M91" s="18">
        <v>0.96388888888888902</v>
      </c>
      <c r="N91" s="18">
        <v>0.99327956989247301</v>
      </c>
      <c r="O91" s="18">
        <v>1</v>
      </c>
      <c r="P91" s="18">
        <v>1</v>
      </c>
      <c r="Q91" s="19"/>
    </row>
    <row r="92" spans="1:17" ht="15" customHeight="1" x14ac:dyDescent="0.3">
      <c r="A92" s="6" t="s">
        <v>204</v>
      </c>
      <c r="B92" s="6" t="s">
        <v>115</v>
      </c>
      <c r="C92" s="8">
        <v>23.5</v>
      </c>
      <c r="D92" s="22">
        <v>0.93561643835616404</v>
      </c>
      <c r="E92" s="18">
        <v>0.91532258064516103</v>
      </c>
      <c r="F92" s="20">
        <v>0.51785714285714302</v>
      </c>
      <c r="G92" s="18">
        <v>0.853494623655914</v>
      </c>
      <c r="H92" s="18">
        <v>0.98888888888888904</v>
      </c>
      <c r="I92" s="18">
        <v>0.98252688172043001</v>
      </c>
      <c r="J92" s="18">
        <v>1</v>
      </c>
      <c r="K92" s="18">
        <v>1</v>
      </c>
      <c r="L92" s="18">
        <v>0.97715053763440896</v>
      </c>
      <c r="M92" s="18">
        <v>1</v>
      </c>
      <c r="N92" s="18">
        <v>0.99193548387096797</v>
      </c>
      <c r="O92" s="18">
        <v>1</v>
      </c>
      <c r="P92" s="18">
        <v>0.967741935483871</v>
      </c>
      <c r="Q92" s="17" t="s">
        <v>536</v>
      </c>
    </row>
    <row r="93" spans="1:17" ht="15" customHeight="1" x14ac:dyDescent="0.3">
      <c r="A93" s="6" t="s">
        <v>294</v>
      </c>
      <c r="B93" s="6" t="s">
        <v>68</v>
      </c>
      <c r="C93" s="8">
        <v>22.5</v>
      </c>
      <c r="D93" s="22">
        <v>0.93847031963470295</v>
      </c>
      <c r="E93" s="18">
        <v>1</v>
      </c>
      <c r="F93" s="18">
        <v>0.98958333333333304</v>
      </c>
      <c r="G93" s="20">
        <v>0.77284946236559104</v>
      </c>
      <c r="H93" s="20">
        <v>0.56666666666666698</v>
      </c>
      <c r="I93" s="18">
        <v>0.96102150537634401</v>
      </c>
      <c r="J93" s="18">
        <v>0.98888888888888904</v>
      </c>
      <c r="K93" s="18">
        <v>0.98118279569892497</v>
      </c>
      <c r="L93" s="18">
        <v>1</v>
      </c>
      <c r="M93" s="18">
        <v>1</v>
      </c>
      <c r="N93" s="18">
        <v>1</v>
      </c>
      <c r="O93" s="18">
        <v>1</v>
      </c>
      <c r="P93" s="18">
        <v>1</v>
      </c>
      <c r="Q93" s="17" t="s">
        <v>536</v>
      </c>
    </row>
    <row r="94" spans="1:17" ht="15" customHeight="1" x14ac:dyDescent="0.3">
      <c r="A94" s="6" t="s">
        <v>283</v>
      </c>
      <c r="B94" s="6" t="s">
        <v>217</v>
      </c>
      <c r="C94" s="8">
        <v>22.4</v>
      </c>
      <c r="D94" s="22">
        <v>0.93869863013698596</v>
      </c>
      <c r="E94" s="18">
        <v>1</v>
      </c>
      <c r="F94" s="18">
        <v>1</v>
      </c>
      <c r="G94" s="20">
        <v>0.79704301075268802</v>
      </c>
      <c r="H94" s="18">
        <v>0.86111111111111105</v>
      </c>
      <c r="I94" s="18">
        <v>0.88978494623655902</v>
      </c>
      <c r="J94" s="18">
        <v>0.97916666666666696</v>
      </c>
      <c r="K94" s="18">
        <v>1</v>
      </c>
      <c r="L94" s="18">
        <v>1</v>
      </c>
      <c r="M94" s="18">
        <v>0.98611111111111105</v>
      </c>
      <c r="N94" s="18">
        <v>1</v>
      </c>
      <c r="O94" s="20">
        <v>0.75138888888888899</v>
      </c>
      <c r="P94" s="18">
        <v>1</v>
      </c>
      <c r="Q94" s="19"/>
    </row>
    <row r="95" spans="1:17" ht="15" customHeight="1" x14ac:dyDescent="0.3">
      <c r="A95" s="6" t="s">
        <v>49</v>
      </c>
      <c r="B95" s="6" t="s">
        <v>33</v>
      </c>
      <c r="C95" s="8">
        <v>21.9</v>
      </c>
      <c r="D95" s="22">
        <v>0.93995433789954297</v>
      </c>
      <c r="E95" s="18">
        <v>0.99865591397849496</v>
      </c>
      <c r="F95" s="18">
        <v>0.889880952380952</v>
      </c>
      <c r="G95" s="18">
        <v>1</v>
      </c>
      <c r="H95" s="18">
        <v>0.92500000000000004</v>
      </c>
      <c r="I95" s="20">
        <v>0.78494623655913998</v>
      </c>
      <c r="J95" s="20">
        <v>0.780555555555556</v>
      </c>
      <c r="K95" s="18">
        <v>0.99865591397849496</v>
      </c>
      <c r="L95" s="18">
        <v>0.92473118279569899</v>
      </c>
      <c r="M95" s="18">
        <v>1</v>
      </c>
      <c r="N95" s="18">
        <v>0.98118279569892497</v>
      </c>
      <c r="O95" s="18">
        <v>0.99722222222222201</v>
      </c>
      <c r="P95" s="18">
        <v>0.99193548387096797</v>
      </c>
      <c r="Q95" s="19"/>
    </row>
    <row r="96" spans="1:17" ht="15" customHeight="1" x14ac:dyDescent="0.3">
      <c r="A96" s="6" t="s">
        <v>201</v>
      </c>
      <c r="B96" s="6" t="s">
        <v>150</v>
      </c>
      <c r="C96" s="8">
        <v>21.8</v>
      </c>
      <c r="D96" s="22">
        <v>0.94029680365296797</v>
      </c>
      <c r="E96" s="18">
        <v>0.97580645161290303</v>
      </c>
      <c r="F96" s="18">
        <v>0.99107142857142905</v>
      </c>
      <c r="G96" s="18">
        <v>1</v>
      </c>
      <c r="H96" s="18">
        <v>0.99722222222222201</v>
      </c>
      <c r="I96" s="18">
        <v>0.98387096774193605</v>
      </c>
      <c r="J96" s="20">
        <v>0.64444444444444504</v>
      </c>
      <c r="K96" s="18">
        <v>1</v>
      </c>
      <c r="L96" s="18">
        <v>0.967741935483871</v>
      </c>
      <c r="M96" s="20">
        <v>0.75</v>
      </c>
      <c r="N96" s="18">
        <v>0.978494623655914</v>
      </c>
      <c r="O96" s="18">
        <v>1</v>
      </c>
      <c r="P96" s="18">
        <v>0.98790322580645196</v>
      </c>
      <c r="Q96" s="17" t="s">
        <v>536</v>
      </c>
    </row>
    <row r="97" spans="1:17" ht="15" customHeight="1" x14ac:dyDescent="0.3">
      <c r="A97" s="6" t="s">
        <v>447</v>
      </c>
      <c r="B97" s="6" t="s">
        <v>392</v>
      </c>
      <c r="C97" s="8">
        <v>21.1</v>
      </c>
      <c r="D97" s="14">
        <v>0.36130136986301398</v>
      </c>
      <c r="E97" s="19"/>
      <c r="F97" s="19"/>
      <c r="G97" s="19"/>
      <c r="H97" s="19"/>
      <c r="I97" s="19"/>
      <c r="J97" s="19"/>
      <c r="K97" s="19"/>
      <c r="L97" s="15">
        <v>0.32123655913978499</v>
      </c>
      <c r="M97" s="18">
        <v>0.99722222222222201</v>
      </c>
      <c r="N97" s="18">
        <v>1</v>
      </c>
      <c r="O97" s="18">
        <v>1</v>
      </c>
      <c r="P97" s="18">
        <v>1</v>
      </c>
      <c r="Q97" s="17" t="s">
        <v>537</v>
      </c>
    </row>
    <row r="98" spans="1:17" ht="15" customHeight="1" x14ac:dyDescent="0.3">
      <c r="A98" s="6" t="s">
        <v>220</v>
      </c>
      <c r="B98" s="6" t="s">
        <v>115</v>
      </c>
      <c r="C98" s="8">
        <v>21.1</v>
      </c>
      <c r="D98" s="22">
        <v>0.94212328767123299</v>
      </c>
      <c r="E98" s="18">
        <v>0.89381720430107503</v>
      </c>
      <c r="F98" s="20">
        <v>0.75446428571428603</v>
      </c>
      <c r="G98" s="18">
        <v>0.80376344086021501</v>
      </c>
      <c r="H98" s="18">
        <v>0.99583333333333302</v>
      </c>
      <c r="I98" s="18">
        <v>1</v>
      </c>
      <c r="J98" s="18">
        <v>1</v>
      </c>
      <c r="K98" s="18">
        <v>1</v>
      </c>
      <c r="L98" s="18">
        <v>0.97715053763440896</v>
      </c>
      <c r="M98" s="18">
        <v>1</v>
      </c>
      <c r="N98" s="18">
        <v>0.93682795698924703</v>
      </c>
      <c r="O98" s="18">
        <v>0.99722222222222201</v>
      </c>
      <c r="P98" s="18">
        <v>0.93548387096774199</v>
      </c>
      <c r="Q98" s="19"/>
    </row>
    <row r="99" spans="1:17" ht="15" customHeight="1" x14ac:dyDescent="0.3">
      <c r="A99" s="6" t="s">
        <v>361</v>
      </c>
      <c r="B99" s="6" t="s">
        <v>362</v>
      </c>
      <c r="C99" s="8">
        <v>20.9</v>
      </c>
      <c r="D99" s="21">
        <v>0.78105022831050197</v>
      </c>
      <c r="E99" s="19"/>
      <c r="F99" s="19"/>
      <c r="G99" s="20">
        <v>0.54838709677419395</v>
      </c>
      <c r="H99" s="18">
        <v>0.93888888888888899</v>
      </c>
      <c r="I99" s="18">
        <v>1</v>
      </c>
      <c r="J99" s="18">
        <v>0.83055555555555605</v>
      </c>
      <c r="K99" s="18">
        <v>1</v>
      </c>
      <c r="L99" s="18">
        <v>1</v>
      </c>
      <c r="M99" s="18">
        <v>1</v>
      </c>
      <c r="N99" s="18">
        <v>1</v>
      </c>
      <c r="O99" s="18">
        <v>1</v>
      </c>
      <c r="P99" s="18">
        <v>1</v>
      </c>
      <c r="Q99" s="19"/>
    </row>
    <row r="100" spans="1:17" ht="15" customHeight="1" x14ac:dyDescent="0.3">
      <c r="A100" s="6" t="s">
        <v>344</v>
      </c>
      <c r="B100" s="6" t="s">
        <v>85</v>
      </c>
      <c r="C100" s="8">
        <v>20.9</v>
      </c>
      <c r="D100" s="22">
        <v>0.942808219178082</v>
      </c>
      <c r="E100" s="18">
        <v>0.97446236559139798</v>
      </c>
      <c r="F100" s="18">
        <v>1</v>
      </c>
      <c r="G100" s="18">
        <v>0.98655913978494603</v>
      </c>
      <c r="H100" s="18">
        <v>0.92916666666666703</v>
      </c>
      <c r="I100" s="18">
        <v>0.81989247311827995</v>
      </c>
      <c r="J100" s="18">
        <v>0.98055555555555596</v>
      </c>
      <c r="K100" s="18">
        <v>0.90994623655913998</v>
      </c>
      <c r="L100" s="18">
        <v>0.96102150537634401</v>
      </c>
      <c r="M100" s="18">
        <v>0.86527777777777803</v>
      </c>
      <c r="N100" s="18">
        <v>0.92473118279569899</v>
      </c>
      <c r="O100" s="18">
        <v>1</v>
      </c>
      <c r="P100" s="18">
        <v>0.967741935483871</v>
      </c>
      <c r="Q100" s="19"/>
    </row>
    <row r="101" spans="1:17" ht="15" customHeight="1" x14ac:dyDescent="0.3">
      <c r="A101" s="6" t="s">
        <v>291</v>
      </c>
      <c r="B101" s="6" t="s">
        <v>292</v>
      </c>
      <c r="C101" s="8">
        <v>20.8</v>
      </c>
      <c r="D101" s="22">
        <v>0.942922374429224</v>
      </c>
      <c r="E101" s="18">
        <v>1</v>
      </c>
      <c r="F101" s="18">
        <v>0.99255952380952395</v>
      </c>
      <c r="G101" s="20">
        <v>0.67338709677419395</v>
      </c>
      <c r="H101" s="20">
        <v>0.65416666666666701</v>
      </c>
      <c r="I101" s="18">
        <v>1</v>
      </c>
      <c r="J101" s="18">
        <v>1</v>
      </c>
      <c r="K101" s="18">
        <v>1</v>
      </c>
      <c r="L101" s="18">
        <v>0.99596774193548399</v>
      </c>
      <c r="M101" s="18">
        <v>1</v>
      </c>
      <c r="N101" s="18">
        <v>1</v>
      </c>
      <c r="O101" s="18">
        <v>1</v>
      </c>
      <c r="P101" s="18">
        <v>1</v>
      </c>
      <c r="Q101" s="17" t="s">
        <v>536</v>
      </c>
    </row>
    <row r="102" spans="1:17" ht="15" customHeight="1" x14ac:dyDescent="0.3">
      <c r="A102" s="6" t="s">
        <v>448</v>
      </c>
      <c r="B102" s="6" t="s">
        <v>437</v>
      </c>
      <c r="C102" s="8">
        <v>20.7</v>
      </c>
      <c r="D102" s="14">
        <v>0.36255707762557099</v>
      </c>
      <c r="E102" s="19"/>
      <c r="F102" s="19"/>
      <c r="G102" s="19"/>
      <c r="H102" s="19"/>
      <c r="I102" s="19"/>
      <c r="J102" s="19"/>
      <c r="K102" s="19"/>
      <c r="L102" s="18">
        <v>0.99193548387096797</v>
      </c>
      <c r="M102" s="18">
        <v>0.96666666666666701</v>
      </c>
      <c r="N102" s="15">
        <v>0.38709677419354799</v>
      </c>
      <c r="O102" s="18">
        <v>1</v>
      </c>
      <c r="P102" s="18">
        <v>0.98655913978494603</v>
      </c>
      <c r="Q102" s="17" t="s">
        <v>536</v>
      </c>
    </row>
    <row r="103" spans="1:17" ht="15" customHeight="1" x14ac:dyDescent="0.3">
      <c r="A103" s="6" t="s">
        <v>202</v>
      </c>
      <c r="B103" s="6" t="s">
        <v>85</v>
      </c>
      <c r="C103" s="8">
        <v>20.7</v>
      </c>
      <c r="D103" s="22">
        <v>0.94337899543379</v>
      </c>
      <c r="E103" s="18">
        <v>0.99193548387096797</v>
      </c>
      <c r="F103" s="18">
        <v>1</v>
      </c>
      <c r="G103" s="18">
        <v>0.98655913978494603</v>
      </c>
      <c r="H103" s="18">
        <v>0.99583333333333302</v>
      </c>
      <c r="I103" s="20">
        <v>0.69354838709677402</v>
      </c>
      <c r="J103" s="18">
        <v>0.98055555555555596</v>
      </c>
      <c r="K103" s="18">
        <v>0.90591397849462396</v>
      </c>
      <c r="L103" s="18">
        <v>0.88709677419354804</v>
      </c>
      <c r="M103" s="18">
        <v>0.97361111111111098</v>
      </c>
      <c r="N103" s="18">
        <v>0.95833333333333304</v>
      </c>
      <c r="O103" s="18">
        <v>1</v>
      </c>
      <c r="P103" s="18">
        <v>0.95833333333333304</v>
      </c>
      <c r="Q103" s="17" t="s">
        <v>536</v>
      </c>
    </row>
    <row r="104" spans="1:17" ht="15" customHeight="1" x14ac:dyDescent="0.3">
      <c r="A104" s="6" t="s">
        <v>130</v>
      </c>
      <c r="B104" s="6" t="s">
        <v>85</v>
      </c>
      <c r="C104" s="8">
        <v>20.6</v>
      </c>
      <c r="D104" s="22">
        <v>0.943493150684932</v>
      </c>
      <c r="E104" s="20">
        <v>0.61290322580645196</v>
      </c>
      <c r="F104" s="18">
        <v>1</v>
      </c>
      <c r="G104" s="18">
        <v>0.98655913978494603</v>
      </c>
      <c r="H104" s="18">
        <v>0.96250000000000002</v>
      </c>
      <c r="I104" s="18">
        <v>0.98655913978494603</v>
      </c>
      <c r="J104" s="18">
        <v>0.98055555555555596</v>
      </c>
      <c r="K104" s="18">
        <v>0.978494623655914</v>
      </c>
      <c r="L104" s="18">
        <v>0.93682795698924703</v>
      </c>
      <c r="M104" s="18">
        <v>0.96527777777777801</v>
      </c>
      <c r="N104" s="18">
        <v>0.96505376344086002</v>
      </c>
      <c r="O104" s="18">
        <v>1</v>
      </c>
      <c r="P104" s="18">
        <v>0.956989247311828</v>
      </c>
      <c r="Q104" s="19"/>
    </row>
    <row r="105" spans="1:17" ht="15" customHeight="1" x14ac:dyDescent="0.3">
      <c r="A105" s="6" t="s">
        <v>370</v>
      </c>
      <c r="B105" s="6" t="s">
        <v>371</v>
      </c>
      <c r="C105" s="8">
        <v>20.100000000000001</v>
      </c>
      <c r="D105" s="21">
        <v>0.78321917808219199</v>
      </c>
      <c r="E105" s="19"/>
      <c r="F105" s="19"/>
      <c r="G105" s="15">
        <v>0.41935483870967699</v>
      </c>
      <c r="H105" s="18">
        <v>0.98750000000000004</v>
      </c>
      <c r="I105" s="18">
        <v>0.99865591397849496</v>
      </c>
      <c r="J105" s="18">
        <v>1</v>
      </c>
      <c r="K105" s="18">
        <v>1</v>
      </c>
      <c r="L105" s="18">
        <v>1</v>
      </c>
      <c r="M105" s="18">
        <v>0.98611111111111105</v>
      </c>
      <c r="N105" s="18">
        <v>1</v>
      </c>
      <c r="O105" s="18">
        <v>1</v>
      </c>
      <c r="P105" s="18">
        <v>0.95833333333333304</v>
      </c>
      <c r="Q105" s="19"/>
    </row>
    <row r="106" spans="1:17" ht="15" customHeight="1" x14ac:dyDescent="0.3">
      <c r="A106" s="6" t="s">
        <v>433</v>
      </c>
      <c r="B106" s="6" t="s">
        <v>23</v>
      </c>
      <c r="C106" s="8">
        <v>19.7</v>
      </c>
      <c r="D106" s="21">
        <v>0.69954337899543395</v>
      </c>
      <c r="E106" s="19"/>
      <c r="F106" s="19"/>
      <c r="G106" s="19"/>
      <c r="H106" s="20">
        <v>0.56111111111111101</v>
      </c>
      <c r="I106" s="18">
        <v>1</v>
      </c>
      <c r="J106" s="18">
        <v>0.99722222222222201</v>
      </c>
      <c r="K106" s="18">
        <v>1</v>
      </c>
      <c r="L106" s="18">
        <v>1</v>
      </c>
      <c r="M106" s="18">
        <v>0.80972222222222201</v>
      </c>
      <c r="N106" s="18">
        <v>0.99462365591397905</v>
      </c>
      <c r="O106" s="18">
        <v>0.98194444444444395</v>
      </c>
      <c r="P106" s="18">
        <v>1</v>
      </c>
      <c r="Q106" s="17" t="s">
        <v>537</v>
      </c>
    </row>
    <row r="107" spans="1:17" ht="15" customHeight="1" x14ac:dyDescent="0.3">
      <c r="A107" s="6" t="s">
        <v>450</v>
      </c>
      <c r="B107" s="6" t="s">
        <v>397</v>
      </c>
      <c r="C107" s="8">
        <v>19.600000000000001</v>
      </c>
      <c r="D107" s="21">
        <v>0.69965753424657495</v>
      </c>
      <c r="E107" s="19"/>
      <c r="F107" s="19"/>
      <c r="G107" s="19"/>
      <c r="H107" s="15">
        <v>0.391666666666667</v>
      </c>
      <c r="I107" s="18">
        <v>0.97580645161290303</v>
      </c>
      <c r="J107" s="18">
        <v>0.99722222222222201</v>
      </c>
      <c r="K107" s="18">
        <v>1</v>
      </c>
      <c r="L107" s="18">
        <v>1</v>
      </c>
      <c r="M107" s="18">
        <v>1</v>
      </c>
      <c r="N107" s="18">
        <v>0.99731182795698903</v>
      </c>
      <c r="O107" s="18">
        <v>1</v>
      </c>
      <c r="P107" s="18">
        <v>0.98521505376344098</v>
      </c>
      <c r="Q107" s="17" t="s">
        <v>537</v>
      </c>
    </row>
    <row r="108" spans="1:17" ht="15" customHeight="1" x14ac:dyDescent="0.3">
      <c r="A108" s="6" t="s">
        <v>373</v>
      </c>
      <c r="B108" s="6" t="s">
        <v>371</v>
      </c>
      <c r="C108" s="8">
        <v>19.3</v>
      </c>
      <c r="D108" s="21">
        <v>0.78538812785388101</v>
      </c>
      <c r="E108" s="19"/>
      <c r="F108" s="19"/>
      <c r="G108" s="15">
        <v>0.41935483870967699</v>
      </c>
      <c r="H108" s="18">
        <v>0.99027777777777803</v>
      </c>
      <c r="I108" s="18">
        <v>0.99731182795698903</v>
      </c>
      <c r="J108" s="18">
        <v>1</v>
      </c>
      <c r="K108" s="18">
        <v>1</v>
      </c>
      <c r="L108" s="18">
        <v>1</v>
      </c>
      <c r="M108" s="18">
        <v>0.98611111111111105</v>
      </c>
      <c r="N108" s="18">
        <v>1</v>
      </c>
      <c r="O108" s="18">
        <v>1</v>
      </c>
      <c r="P108" s="18">
        <v>0.98252688172043001</v>
      </c>
      <c r="Q108" s="19"/>
    </row>
    <row r="109" spans="1:17" ht="15" customHeight="1" x14ac:dyDescent="0.3">
      <c r="A109" s="6" t="s">
        <v>340</v>
      </c>
      <c r="B109" s="6" t="s">
        <v>85</v>
      </c>
      <c r="C109" s="8">
        <v>18.5</v>
      </c>
      <c r="D109" s="22">
        <v>0.94931506849315095</v>
      </c>
      <c r="E109" s="18">
        <v>1</v>
      </c>
      <c r="F109" s="18">
        <v>1</v>
      </c>
      <c r="G109" s="18">
        <v>0.98655913978494603</v>
      </c>
      <c r="H109" s="18">
        <v>0.96250000000000002</v>
      </c>
      <c r="I109" s="18">
        <v>0.85215053763440896</v>
      </c>
      <c r="J109" s="18">
        <v>0.98055555555555596</v>
      </c>
      <c r="K109" s="18">
        <v>0.90994623655913998</v>
      </c>
      <c r="L109" s="18">
        <v>0.96102150537634401</v>
      </c>
      <c r="M109" s="18">
        <v>0.88472222222222197</v>
      </c>
      <c r="N109" s="18">
        <v>0.92473118279569899</v>
      </c>
      <c r="O109" s="18">
        <v>1</v>
      </c>
      <c r="P109" s="18">
        <v>0.93548387096774199</v>
      </c>
      <c r="Q109" s="19"/>
    </row>
    <row r="110" spans="1:17" ht="15" customHeight="1" x14ac:dyDescent="0.3">
      <c r="A110" s="6" t="s">
        <v>61</v>
      </c>
      <c r="B110" s="6" t="s">
        <v>62</v>
      </c>
      <c r="C110" s="8">
        <v>18.399999999999999</v>
      </c>
      <c r="D110" s="22">
        <v>0.94954337899543395</v>
      </c>
      <c r="E110" s="18">
        <v>1</v>
      </c>
      <c r="F110" s="18">
        <v>1</v>
      </c>
      <c r="G110" s="18">
        <v>1</v>
      </c>
      <c r="H110" s="18">
        <v>1</v>
      </c>
      <c r="I110" s="18">
        <v>1</v>
      </c>
      <c r="J110" s="18">
        <v>1</v>
      </c>
      <c r="K110" s="18">
        <v>1</v>
      </c>
      <c r="L110" s="18">
        <v>1</v>
      </c>
      <c r="M110" s="20">
        <v>0.73055555555555596</v>
      </c>
      <c r="N110" s="20">
        <v>0.66666666666666696</v>
      </c>
      <c r="O110" s="18">
        <v>1</v>
      </c>
      <c r="P110" s="18">
        <v>1</v>
      </c>
      <c r="Q110" s="19"/>
    </row>
    <row r="111" spans="1:17" ht="15" customHeight="1" x14ac:dyDescent="0.3">
      <c r="A111" s="6" t="s">
        <v>465</v>
      </c>
      <c r="B111" s="6" t="s">
        <v>62</v>
      </c>
      <c r="C111" s="8">
        <v>18.3</v>
      </c>
      <c r="D111" s="14">
        <v>0.201826484018265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5">
        <v>0.40860215053763399</v>
      </c>
      <c r="O111" s="18">
        <v>1</v>
      </c>
      <c r="P111" s="18">
        <v>1</v>
      </c>
      <c r="Q111" s="17" t="s">
        <v>537</v>
      </c>
    </row>
    <row r="112" spans="1:17" ht="15" customHeight="1" x14ac:dyDescent="0.3">
      <c r="A112" s="6" t="s">
        <v>432</v>
      </c>
      <c r="B112" s="6" t="s">
        <v>362</v>
      </c>
      <c r="C112" s="8">
        <v>18.2</v>
      </c>
      <c r="D112" s="21">
        <v>0.70353881278538799</v>
      </c>
      <c r="E112" s="19"/>
      <c r="F112" s="19"/>
      <c r="G112" s="19"/>
      <c r="H112" s="15">
        <v>0.45138888888888901</v>
      </c>
      <c r="I112" s="18">
        <v>0.989247311827957</v>
      </c>
      <c r="J112" s="18">
        <v>0.95833333333333304</v>
      </c>
      <c r="K112" s="18">
        <v>1</v>
      </c>
      <c r="L112" s="18">
        <v>1</v>
      </c>
      <c r="M112" s="18">
        <v>1</v>
      </c>
      <c r="N112" s="18">
        <v>1</v>
      </c>
      <c r="O112" s="18">
        <v>0.99444444444444502</v>
      </c>
      <c r="P112" s="18">
        <v>1</v>
      </c>
      <c r="Q112" s="19"/>
    </row>
    <row r="113" spans="1:17" ht="15" customHeight="1" x14ac:dyDescent="0.3">
      <c r="A113" s="6" t="s">
        <v>428</v>
      </c>
      <c r="B113" s="6" t="s">
        <v>23</v>
      </c>
      <c r="C113" s="8">
        <v>18</v>
      </c>
      <c r="D113" s="21">
        <v>0.70399543378995399</v>
      </c>
      <c r="E113" s="19"/>
      <c r="F113" s="19"/>
      <c r="G113" s="19"/>
      <c r="H113" s="20">
        <v>0.56111111111111101</v>
      </c>
      <c r="I113" s="18">
        <v>1</v>
      </c>
      <c r="J113" s="18">
        <v>1</v>
      </c>
      <c r="K113" s="18">
        <v>0.98252688172043001</v>
      </c>
      <c r="L113" s="18">
        <v>0.87903225806451601</v>
      </c>
      <c r="M113" s="18">
        <v>0.99305555555555602</v>
      </c>
      <c r="N113" s="18">
        <v>0.99193548387096797</v>
      </c>
      <c r="O113" s="18">
        <v>0.99583333333333302</v>
      </c>
      <c r="P113" s="18">
        <v>1</v>
      </c>
      <c r="Q113" s="19"/>
    </row>
    <row r="114" spans="1:17" ht="15" customHeight="1" x14ac:dyDescent="0.3">
      <c r="A114" s="6" t="s">
        <v>125</v>
      </c>
      <c r="B114" s="6" t="s">
        <v>77</v>
      </c>
      <c r="C114" s="8">
        <v>18</v>
      </c>
      <c r="D114" s="22">
        <v>0.95079908675799096</v>
      </c>
      <c r="E114" s="18">
        <v>1</v>
      </c>
      <c r="F114" s="18">
        <v>1</v>
      </c>
      <c r="G114" s="18">
        <v>0.81720430107526898</v>
      </c>
      <c r="H114" s="18">
        <v>0.81666666666666698</v>
      </c>
      <c r="I114" s="18">
        <v>0.90994623655913998</v>
      </c>
      <c r="J114" s="18">
        <v>0.98055555555555596</v>
      </c>
      <c r="K114" s="18">
        <v>0.99731182795698903</v>
      </c>
      <c r="L114" s="18">
        <v>0.99731182795698903</v>
      </c>
      <c r="M114" s="18">
        <v>0.89166666666666705</v>
      </c>
      <c r="N114" s="18">
        <v>1</v>
      </c>
      <c r="O114" s="18">
        <v>1</v>
      </c>
      <c r="P114" s="18">
        <v>1</v>
      </c>
      <c r="Q114" s="19"/>
    </row>
    <row r="115" spans="1:17" ht="15" customHeight="1" x14ac:dyDescent="0.3">
      <c r="A115" s="6" t="s">
        <v>168</v>
      </c>
      <c r="B115" s="6" t="s">
        <v>169</v>
      </c>
      <c r="C115" s="8">
        <v>17.899999999999999</v>
      </c>
      <c r="D115" s="22">
        <v>0.95102739726027397</v>
      </c>
      <c r="E115" s="18">
        <v>0.99731182795698903</v>
      </c>
      <c r="F115" s="18">
        <v>0.93898809523809501</v>
      </c>
      <c r="G115" s="18">
        <v>1</v>
      </c>
      <c r="H115" s="18">
        <v>1</v>
      </c>
      <c r="I115" s="18">
        <v>1</v>
      </c>
      <c r="J115" s="18">
        <v>1</v>
      </c>
      <c r="K115" s="18">
        <v>1</v>
      </c>
      <c r="L115" s="15">
        <v>0.483870967741936</v>
      </c>
      <c r="M115" s="18">
        <v>1</v>
      </c>
      <c r="N115" s="18">
        <v>0.99731182795698903</v>
      </c>
      <c r="O115" s="18">
        <v>1</v>
      </c>
      <c r="P115" s="18">
        <v>1</v>
      </c>
      <c r="Q115" s="17" t="s">
        <v>536</v>
      </c>
    </row>
    <row r="116" spans="1:17" ht="15" customHeight="1" x14ac:dyDescent="0.3">
      <c r="A116" s="6" t="s">
        <v>194</v>
      </c>
      <c r="B116" s="6" t="s">
        <v>195</v>
      </c>
      <c r="C116" s="8">
        <v>17.8</v>
      </c>
      <c r="D116" s="22">
        <v>0.95114155251141597</v>
      </c>
      <c r="E116" s="18">
        <v>1</v>
      </c>
      <c r="F116" s="18">
        <v>1</v>
      </c>
      <c r="G116" s="18">
        <v>1</v>
      </c>
      <c r="H116" s="18">
        <v>0.93333333333333302</v>
      </c>
      <c r="I116" s="18">
        <v>1</v>
      </c>
      <c r="J116" s="18">
        <v>1</v>
      </c>
      <c r="K116" s="18">
        <v>1</v>
      </c>
      <c r="L116" s="18">
        <v>0.97580645161290303</v>
      </c>
      <c r="M116" s="18">
        <v>0.97499999999999998</v>
      </c>
      <c r="N116" s="18">
        <v>1</v>
      </c>
      <c r="O116" s="20">
        <v>0.54444444444444395</v>
      </c>
      <c r="P116" s="18">
        <v>0.978494623655914</v>
      </c>
      <c r="Q116" s="17" t="s">
        <v>536</v>
      </c>
    </row>
    <row r="117" spans="1:17" ht="15" customHeight="1" x14ac:dyDescent="0.3">
      <c r="A117" s="6" t="s">
        <v>441</v>
      </c>
      <c r="B117" s="6" t="s">
        <v>437</v>
      </c>
      <c r="C117" s="8">
        <v>17.7</v>
      </c>
      <c r="D117" s="21">
        <v>0.62283105022831098</v>
      </c>
      <c r="E117" s="19"/>
      <c r="F117" s="19"/>
      <c r="G117" s="19"/>
      <c r="H117" s="19"/>
      <c r="I117" s="15">
        <v>0.45161290322580599</v>
      </c>
      <c r="J117" s="18">
        <v>1</v>
      </c>
      <c r="K117" s="18">
        <v>0.99193548387096797</v>
      </c>
      <c r="L117" s="18">
        <v>1</v>
      </c>
      <c r="M117" s="18">
        <v>1</v>
      </c>
      <c r="N117" s="18">
        <v>1</v>
      </c>
      <c r="O117" s="18">
        <v>1</v>
      </c>
      <c r="P117" s="18">
        <v>0.98655913978494603</v>
      </c>
      <c r="Q117" s="17" t="s">
        <v>537</v>
      </c>
    </row>
    <row r="118" spans="1:17" ht="15" customHeight="1" x14ac:dyDescent="0.3">
      <c r="A118" s="6" t="s">
        <v>327</v>
      </c>
      <c r="B118" s="6" t="s">
        <v>85</v>
      </c>
      <c r="C118" s="8">
        <v>17.7</v>
      </c>
      <c r="D118" s="22">
        <v>0.95159817351598197</v>
      </c>
      <c r="E118" s="18">
        <v>0.87634408602150504</v>
      </c>
      <c r="F118" s="18">
        <v>1</v>
      </c>
      <c r="G118" s="18">
        <v>0.98655913978494603</v>
      </c>
      <c r="H118" s="18">
        <v>0.99583333333333302</v>
      </c>
      <c r="I118" s="18">
        <v>1</v>
      </c>
      <c r="J118" s="18">
        <v>0.85138888888888897</v>
      </c>
      <c r="K118" s="18">
        <v>0.91397849462365599</v>
      </c>
      <c r="L118" s="18">
        <v>0.92607526881720403</v>
      </c>
      <c r="M118" s="18">
        <v>0.96527777777777801</v>
      </c>
      <c r="N118" s="18">
        <v>0.94892473118279597</v>
      </c>
      <c r="O118" s="18">
        <v>1</v>
      </c>
      <c r="P118" s="18">
        <v>0.95967741935483897</v>
      </c>
      <c r="Q118" s="19"/>
    </row>
    <row r="119" spans="1:17" ht="15" customHeight="1" x14ac:dyDescent="0.3">
      <c r="A119" s="6" t="s">
        <v>442</v>
      </c>
      <c r="B119" s="6" t="s">
        <v>26</v>
      </c>
      <c r="C119" s="8">
        <v>17</v>
      </c>
      <c r="D119" s="21">
        <v>0.70673515981735202</v>
      </c>
      <c r="E119" s="19"/>
      <c r="F119" s="19"/>
      <c r="G119" s="19"/>
      <c r="H119" s="20">
        <v>0.56666666666666698</v>
      </c>
      <c r="I119" s="18">
        <v>1</v>
      </c>
      <c r="J119" s="18">
        <v>0.98750000000000004</v>
      </c>
      <c r="K119" s="18">
        <v>0.99731182795698903</v>
      </c>
      <c r="L119" s="18">
        <v>0.92204301075268802</v>
      </c>
      <c r="M119" s="18">
        <v>0.96666666666666701</v>
      </c>
      <c r="N119" s="18">
        <v>0.99462365591397905</v>
      </c>
      <c r="O119" s="18">
        <v>1</v>
      </c>
      <c r="P119" s="18">
        <v>1</v>
      </c>
      <c r="Q119" s="19"/>
    </row>
    <row r="120" spans="1:17" ht="15" customHeight="1" x14ac:dyDescent="0.3">
      <c r="A120" s="6" t="s">
        <v>445</v>
      </c>
      <c r="B120" s="6" t="s">
        <v>392</v>
      </c>
      <c r="C120" s="8">
        <v>16.8</v>
      </c>
      <c r="D120" s="14">
        <v>0.37328767123287698</v>
      </c>
      <c r="E120" s="19"/>
      <c r="F120" s="19"/>
      <c r="G120" s="19"/>
      <c r="H120" s="19"/>
      <c r="I120" s="19"/>
      <c r="J120" s="19"/>
      <c r="K120" s="19"/>
      <c r="L120" s="18">
        <v>0.93010752688172005</v>
      </c>
      <c r="M120" s="18">
        <v>0.99722222222222201</v>
      </c>
      <c r="N120" s="18">
        <v>1</v>
      </c>
      <c r="O120" s="18">
        <v>1</v>
      </c>
      <c r="P120" s="20">
        <v>0.532258064516129</v>
      </c>
      <c r="Q120" s="17" t="s">
        <v>536</v>
      </c>
    </row>
    <row r="121" spans="1:17" ht="15" customHeight="1" x14ac:dyDescent="0.3">
      <c r="A121" s="6" t="s">
        <v>177</v>
      </c>
      <c r="B121" s="6" t="s">
        <v>38</v>
      </c>
      <c r="C121" s="8">
        <v>16.600000000000001</v>
      </c>
      <c r="D121" s="22">
        <v>0.954566210045662</v>
      </c>
      <c r="E121" s="18">
        <v>1</v>
      </c>
      <c r="F121" s="18">
        <v>0.95089285714285698</v>
      </c>
      <c r="G121" s="20">
        <v>0.74462365591397905</v>
      </c>
      <c r="H121" s="18">
        <v>0.91111111111111098</v>
      </c>
      <c r="I121" s="18">
        <v>0.96908602150537604</v>
      </c>
      <c r="J121" s="18">
        <v>0.95833333333333304</v>
      </c>
      <c r="K121" s="18">
        <v>0.97177419354838701</v>
      </c>
      <c r="L121" s="18">
        <v>0.99462365591397905</v>
      </c>
      <c r="M121" s="18">
        <v>1</v>
      </c>
      <c r="N121" s="18">
        <v>1</v>
      </c>
      <c r="O121" s="18">
        <v>0.98194444444444395</v>
      </c>
      <c r="P121" s="18">
        <v>0.97311827956989305</v>
      </c>
      <c r="Q121" s="19"/>
    </row>
    <row r="122" spans="1:17" ht="15" customHeight="1" x14ac:dyDescent="0.3">
      <c r="A122" s="6" t="s">
        <v>259</v>
      </c>
      <c r="B122" s="6" t="s">
        <v>235</v>
      </c>
      <c r="C122" s="8">
        <v>16.5</v>
      </c>
      <c r="D122" s="22">
        <v>0.954908675799087</v>
      </c>
      <c r="E122" s="18">
        <v>1</v>
      </c>
      <c r="F122" s="18">
        <v>1</v>
      </c>
      <c r="G122" s="18">
        <v>0.89112903225806495</v>
      </c>
      <c r="H122" s="18">
        <v>0.82083333333333297</v>
      </c>
      <c r="I122" s="18">
        <v>0.853494623655914</v>
      </c>
      <c r="J122" s="18">
        <v>0.94583333333333297</v>
      </c>
      <c r="K122" s="18">
        <v>1</v>
      </c>
      <c r="L122" s="18">
        <v>1</v>
      </c>
      <c r="M122" s="18">
        <v>1</v>
      </c>
      <c r="N122" s="18">
        <v>0.95026881720430101</v>
      </c>
      <c r="O122" s="18">
        <v>1</v>
      </c>
      <c r="P122" s="18">
        <v>1</v>
      </c>
      <c r="Q122" s="19"/>
    </row>
    <row r="123" spans="1:17" ht="15" customHeight="1" x14ac:dyDescent="0.3">
      <c r="A123" s="6" t="s">
        <v>313</v>
      </c>
      <c r="B123" s="6" t="s">
        <v>89</v>
      </c>
      <c r="C123" s="8">
        <v>16</v>
      </c>
      <c r="D123" s="22">
        <v>0.95627853881278502</v>
      </c>
      <c r="E123" s="18">
        <v>1</v>
      </c>
      <c r="F123" s="18">
        <v>1</v>
      </c>
      <c r="G123" s="18">
        <v>1</v>
      </c>
      <c r="H123" s="20">
        <v>0.64027777777777795</v>
      </c>
      <c r="I123" s="18">
        <v>0.88306451612903203</v>
      </c>
      <c r="J123" s="18">
        <v>0.96388888888888902</v>
      </c>
      <c r="K123" s="18">
        <v>0.98521505376344098</v>
      </c>
      <c r="L123" s="18">
        <v>1</v>
      </c>
      <c r="M123" s="18">
        <v>1</v>
      </c>
      <c r="N123" s="18">
        <v>1</v>
      </c>
      <c r="O123" s="18">
        <v>1</v>
      </c>
      <c r="P123" s="18">
        <v>1</v>
      </c>
      <c r="Q123" s="17" t="s">
        <v>536</v>
      </c>
    </row>
    <row r="124" spans="1:17" ht="15" customHeight="1" x14ac:dyDescent="0.3">
      <c r="A124" s="6" t="s">
        <v>472</v>
      </c>
      <c r="B124" s="6" t="s">
        <v>468</v>
      </c>
      <c r="C124" s="8">
        <v>15.2</v>
      </c>
      <c r="D124" s="14">
        <v>0.12557077625570801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8">
        <v>0.83055555555555605</v>
      </c>
      <c r="P124" s="20">
        <v>0.67473118279569899</v>
      </c>
      <c r="Q124" s="17" t="s">
        <v>537</v>
      </c>
    </row>
    <row r="125" spans="1:17" ht="15" customHeight="1" x14ac:dyDescent="0.3">
      <c r="A125" s="6" t="s">
        <v>46</v>
      </c>
      <c r="B125" s="6" t="s">
        <v>47</v>
      </c>
      <c r="C125" s="8">
        <v>15</v>
      </c>
      <c r="D125" s="22">
        <v>0.95878995433790004</v>
      </c>
      <c r="E125" s="18">
        <v>0.99462365591397905</v>
      </c>
      <c r="F125" s="18">
        <v>1</v>
      </c>
      <c r="G125" s="18">
        <v>0.989247311827957</v>
      </c>
      <c r="H125" s="18">
        <v>1</v>
      </c>
      <c r="I125" s="18">
        <v>0.80107526881720403</v>
      </c>
      <c r="J125" s="18">
        <v>0.84583333333333299</v>
      </c>
      <c r="K125" s="18">
        <v>0.95026881720430101</v>
      </c>
      <c r="L125" s="18">
        <v>0.98790322580645196</v>
      </c>
      <c r="M125" s="18">
        <v>0.99722222222222201</v>
      </c>
      <c r="N125" s="18">
        <v>1</v>
      </c>
      <c r="O125" s="18">
        <v>0.99444444444444502</v>
      </c>
      <c r="P125" s="18">
        <v>0.94892473118279597</v>
      </c>
      <c r="Q125" s="19"/>
    </row>
    <row r="126" spans="1:17" ht="15" customHeight="1" x14ac:dyDescent="0.3">
      <c r="A126" s="6" t="s">
        <v>222</v>
      </c>
      <c r="B126" s="6" t="s">
        <v>159</v>
      </c>
      <c r="C126" s="8">
        <v>14.4</v>
      </c>
      <c r="D126" s="22">
        <v>0.96061643835616395</v>
      </c>
      <c r="E126" s="18">
        <v>0.81586021505376405</v>
      </c>
      <c r="F126" s="18">
        <v>0.85714285714285698</v>
      </c>
      <c r="G126" s="18">
        <v>0.99596774193548399</v>
      </c>
      <c r="H126" s="18">
        <v>1</v>
      </c>
      <c r="I126" s="18">
        <v>0.99865591397849496</v>
      </c>
      <c r="J126" s="18">
        <v>1</v>
      </c>
      <c r="K126" s="18">
        <v>1</v>
      </c>
      <c r="L126" s="18">
        <v>1</v>
      </c>
      <c r="M126" s="18">
        <v>1</v>
      </c>
      <c r="N126" s="18">
        <v>0.98387096774193605</v>
      </c>
      <c r="O126" s="18">
        <v>0.86666666666666703</v>
      </c>
      <c r="P126" s="18">
        <v>1</v>
      </c>
      <c r="Q126" s="19"/>
    </row>
    <row r="127" spans="1:17" ht="15" customHeight="1" x14ac:dyDescent="0.3">
      <c r="A127" s="6" t="s">
        <v>369</v>
      </c>
      <c r="B127" s="6" t="s">
        <v>362</v>
      </c>
      <c r="C127" s="8">
        <v>14.2</v>
      </c>
      <c r="D127" s="21">
        <v>0.79954337899543404</v>
      </c>
      <c r="E127" s="19"/>
      <c r="F127" s="19"/>
      <c r="G127" s="20">
        <v>0.54838709677419395</v>
      </c>
      <c r="H127" s="18">
        <v>1</v>
      </c>
      <c r="I127" s="18">
        <v>0.99462365591397905</v>
      </c>
      <c r="J127" s="18">
        <v>1</v>
      </c>
      <c r="K127" s="18">
        <v>1</v>
      </c>
      <c r="L127" s="18">
        <v>1</v>
      </c>
      <c r="M127" s="18">
        <v>1</v>
      </c>
      <c r="N127" s="18">
        <v>1</v>
      </c>
      <c r="O127" s="18">
        <v>1</v>
      </c>
      <c r="P127" s="18">
        <v>1</v>
      </c>
      <c r="Q127" s="19"/>
    </row>
    <row r="128" spans="1:17" ht="15" customHeight="1" x14ac:dyDescent="0.3">
      <c r="A128" s="6" t="s">
        <v>203</v>
      </c>
      <c r="B128" s="6" t="s">
        <v>150</v>
      </c>
      <c r="C128" s="8">
        <v>13.8</v>
      </c>
      <c r="D128" s="22">
        <v>0.96221461187214596</v>
      </c>
      <c r="E128" s="18">
        <v>0.989247311827957</v>
      </c>
      <c r="F128" s="18">
        <v>0.98214285714285698</v>
      </c>
      <c r="G128" s="18">
        <v>1</v>
      </c>
      <c r="H128" s="18">
        <v>0.98472222222222205</v>
      </c>
      <c r="I128" s="18">
        <v>0.989247311827957</v>
      </c>
      <c r="J128" s="18">
        <v>0.82777777777777795</v>
      </c>
      <c r="K128" s="18">
        <v>0.86021505376344098</v>
      </c>
      <c r="L128" s="18">
        <v>1</v>
      </c>
      <c r="M128" s="18">
        <v>0.91111111111111098</v>
      </c>
      <c r="N128" s="18">
        <v>1</v>
      </c>
      <c r="O128" s="18">
        <v>1</v>
      </c>
      <c r="P128" s="18">
        <v>1</v>
      </c>
      <c r="Q128" s="19"/>
    </row>
    <row r="129" spans="1:17" ht="15" customHeight="1" x14ac:dyDescent="0.3">
      <c r="A129" s="6" t="s">
        <v>449</v>
      </c>
      <c r="B129" s="6" t="s">
        <v>26</v>
      </c>
      <c r="C129" s="8">
        <v>13.6</v>
      </c>
      <c r="D129" s="21">
        <v>0.7162100456621</v>
      </c>
      <c r="E129" s="19"/>
      <c r="F129" s="19"/>
      <c r="G129" s="19"/>
      <c r="H129" s="20">
        <v>0.56666666666666698</v>
      </c>
      <c r="I129" s="18">
        <v>1</v>
      </c>
      <c r="J129" s="18">
        <v>1</v>
      </c>
      <c r="K129" s="18">
        <v>0.99731182795698903</v>
      </c>
      <c r="L129" s="18">
        <v>1</v>
      </c>
      <c r="M129" s="18">
        <v>1</v>
      </c>
      <c r="N129" s="18">
        <v>0.98387096774193605</v>
      </c>
      <c r="O129" s="18">
        <v>1</v>
      </c>
      <c r="P129" s="18">
        <v>1</v>
      </c>
      <c r="Q129" s="19"/>
    </row>
    <row r="130" spans="1:17" ht="15" customHeight="1" x14ac:dyDescent="0.3">
      <c r="A130" s="6" t="s">
        <v>114</v>
      </c>
      <c r="B130" s="6" t="s">
        <v>115</v>
      </c>
      <c r="C130" s="8">
        <v>13.5</v>
      </c>
      <c r="D130" s="22">
        <v>0.96301369863013697</v>
      </c>
      <c r="E130" s="18">
        <v>0.96102150537634401</v>
      </c>
      <c r="F130" s="18">
        <v>0.90327380952380998</v>
      </c>
      <c r="G130" s="18">
        <v>0.967741935483871</v>
      </c>
      <c r="H130" s="18">
        <v>0.98611111111111105</v>
      </c>
      <c r="I130" s="18">
        <v>0.97177419354838701</v>
      </c>
      <c r="J130" s="18">
        <v>0.98055555555555596</v>
      </c>
      <c r="K130" s="18">
        <v>0.87096774193548399</v>
      </c>
      <c r="L130" s="18">
        <v>0.93548387096774199</v>
      </c>
      <c r="M130" s="18">
        <v>1</v>
      </c>
      <c r="N130" s="18">
        <v>1</v>
      </c>
      <c r="O130" s="18">
        <v>1</v>
      </c>
      <c r="P130" s="18">
        <v>0.97715053763440896</v>
      </c>
      <c r="Q130" s="19"/>
    </row>
    <row r="131" spans="1:17" ht="15" customHeight="1" x14ac:dyDescent="0.3">
      <c r="A131" s="6" t="s">
        <v>76</v>
      </c>
      <c r="B131" s="6" t="s">
        <v>77</v>
      </c>
      <c r="C131" s="8">
        <v>13.1</v>
      </c>
      <c r="D131" s="22">
        <v>0.96415525114155298</v>
      </c>
      <c r="E131" s="18">
        <v>1</v>
      </c>
      <c r="F131" s="18">
        <v>0.96428571428571397</v>
      </c>
      <c r="G131" s="18">
        <v>0.99327956989247301</v>
      </c>
      <c r="H131" s="18">
        <v>0.99722222222222201</v>
      </c>
      <c r="I131" s="18">
        <v>0.98387096774193605</v>
      </c>
      <c r="J131" s="18">
        <v>1</v>
      </c>
      <c r="K131" s="18">
        <v>0.99731182795698903</v>
      </c>
      <c r="L131" s="18">
        <v>0.99731182795698903</v>
      </c>
      <c r="M131" s="18">
        <v>1</v>
      </c>
      <c r="N131" s="18">
        <v>1</v>
      </c>
      <c r="O131" s="20">
        <v>0.66666666666666696</v>
      </c>
      <c r="P131" s="18">
        <v>0.96370967741935498</v>
      </c>
      <c r="Q131" s="17" t="s">
        <v>536</v>
      </c>
    </row>
    <row r="132" spans="1:17" ht="15" customHeight="1" x14ac:dyDescent="0.3">
      <c r="A132" s="6" t="s">
        <v>93</v>
      </c>
      <c r="B132" s="6" t="s">
        <v>85</v>
      </c>
      <c r="C132" s="8">
        <v>12.8</v>
      </c>
      <c r="D132" s="22">
        <v>0.96484018264840199</v>
      </c>
      <c r="E132" s="18">
        <v>1</v>
      </c>
      <c r="F132" s="18">
        <v>1</v>
      </c>
      <c r="G132" s="18">
        <v>0.956989247311828</v>
      </c>
      <c r="H132" s="18">
        <v>0.95138888888888895</v>
      </c>
      <c r="I132" s="18">
        <v>0.90591397849462396</v>
      </c>
      <c r="J132" s="18">
        <v>0.98055555555555596</v>
      </c>
      <c r="K132" s="18">
        <v>0.95430107526881702</v>
      </c>
      <c r="L132" s="18">
        <v>0.99596774193548399</v>
      </c>
      <c r="M132" s="18">
        <v>0.98333333333333295</v>
      </c>
      <c r="N132" s="18">
        <v>0.98118279569892497</v>
      </c>
      <c r="O132" s="18">
        <v>0.98888888888888904</v>
      </c>
      <c r="P132" s="18">
        <v>0.88440860215053796</v>
      </c>
      <c r="Q132" s="19"/>
    </row>
    <row r="133" spans="1:17" ht="15" customHeight="1" x14ac:dyDescent="0.3">
      <c r="A133" s="6" t="s">
        <v>175</v>
      </c>
      <c r="B133" s="6" t="s">
        <v>150</v>
      </c>
      <c r="C133" s="8">
        <v>12.7</v>
      </c>
      <c r="D133" s="22">
        <v>0.96518264840182599</v>
      </c>
      <c r="E133" s="18">
        <v>0.989247311827957</v>
      </c>
      <c r="F133" s="18">
        <v>0.985119047619048</v>
      </c>
      <c r="G133" s="18">
        <v>1</v>
      </c>
      <c r="H133" s="18">
        <v>0.98194444444444395</v>
      </c>
      <c r="I133" s="18">
        <v>0.97043010752688197</v>
      </c>
      <c r="J133" s="18">
        <v>0.97499999999999998</v>
      </c>
      <c r="K133" s="18">
        <v>0.87634408602150504</v>
      </c>
      <c r="L133" s="18">
        <v>0.92473118279569899</v>
      </c>
      <c r="M133" s="18">
        <v>0.94166666666666698</v>
      </c>
      <c r="N133" s="18">
        <v>0.96505376344086002</v>
      </c>
      <c r="O133" s="18">
        <v>0.98888888888888904</v>
      </c>
      <c r="P133" s="18">
        <v>0.98655913978494603</v>
      </c>
      <c r="Q133" s="19"/>
    </row>
    <row r="134" spans="1:17" ht="15" customHeight="1" x14ac:dyDescent="0.3">
      <c r="A134" s="6" t="s">
        <v>331</v>
      </c>
      <c r="B134" s="6" t="s">
        <v>292</v>
      </c>
      <c r="C134" s="8">
        <v>12.5</v>
      </c>
      <c r="D134" s="22">
        <v>0.965867579908676</v>
      </c>
      <c r="E134" s="18">
        <v>0.98521505376344098</v>
      </c>
      <c r="F134" s="18">
        <v>0.95089285714285698</v>
      </c>
      <c r="G134" s="18">
        <v>0.99059139784946204</v>
      </c>
      <c r="H134" s="18">
        <v>0.968055555555556</v>
      </c>
      <c r="I134" s="18">
        <v>0.98521505376344098</v>
      </c>
      <c r="J134" s="18">
        <v>0.98888888888888904</v>
      </c>
      <c r="K134" s="18">
        <v>0.99059139784946204</v>
      </c>
      <c r="L134" s="18">
        <v>0.89381720430107503</v>
      </c>
      <c r="M134" s="18">
        <v>1</v>
      </c>
      <c r="N134" s="18">
        <v>0.83870967741935498</v>
      </c>
      <c r="O134" s="18">
        <v>1</v>
      </c>
      <c r="P134" s="18">
        <v>1</v>
      </c>
      <c r="Q134" s="19"/>
    </row>
    <row r="135" spans="1:17" ht="15" customHeight="1" x14ac:dyDescent="0.3">
      <c r="A135" s="6" t="s">
        <v>295</v>
      </c>
      <c r="B135" s="6" t="s">
        <v>296</v>
      </c>
      <c r="C135" s="8">
        <v>12.2</v>
      </c>
      <c r="D135" s="22">
        <v>0.966438356164384</v>
      </c>
      <c r="E135" s="18">
        <v>0.99193548387096797</v>
      </c>
      <c r="F135" s="18">
        <v>1</v>
      </c>
      <c r="G135" s="18">
        <v>1</v>
      </c>
      <c r="H135" s="18">
        <v>1</v>
      </c>
      <c r="I135" s="18">
        <v>1</v>
      </c>
      <c r="J135" s="20">
        <v>0.6</v>
      </c>
      <c r="K135" s="18">
        <v>1</v>
      </c>
      <c r="L135" s="18">
        <v>1</v>
      </c>
      <c r="M135" s="18">
        <v>1</v>
      </c>
      <c r="N135" s="18">
        <v>1</v>
      </c>
      <c r="O135" s="18">
        <v>1</v>
      </c>
      <c r="P135" s="18">
        <v>1</v>
      </c>
      <c r="Q135" s="17" t="s">
        <v>536</v>
      </c>
    </row>
    <row r="136" spans="1:17" ht="15" customHeight="1" x14ac:dyDescent="0.3">
      <c r="A136" s="6" t="s">
        <v>143</v>
      </c>
      <c r="B136" s="6" t="s">
        <v>120</v>
      </c>
      <c r="C136" s="8">
        <v>12.2</v>
      </c>
      <c r="D136" s="22">
        <v>0.96666666666666701</v>
      </c>
      <c r="E136" s="18">
        <v>1</v>
      </c>
      <c r="F136" s="18">
        <v>1</v>
      </c>
      <c r="G136" s="18">
        <v>1</v>
      </c>
      <c r="H136" s="18">
        <v>0.99166666666666703</v>
      </c>
      <c r="I136" s="18">
        <v>1</v>
      </c>
      <c r="J136" s="18">
        <v>1</v>
      </c>
      <c r="K136" s="18">
        <v>1</v>
      </c>
      <c r="L136" s="18">
        <v>1</v>
      </c>
      <c r="M136" s="20">
        <v>0.72499999999999998</v>
      </c>
      <c r="N136" s="18">
        <v>0.90860215053763405</v>
      </c>
      <c r="O136" s="18">
        <v>1</v>
      </c>
      <c r="P136" s="18">
        <v>0.97311827956989305</v>
      </c>
      <c r="Q136" s="19"/>
    </row>
    <row r="137" spans="1:17" ht="15" customHeight="1" x14ac:dyDescent="0.3">
      <c r="A137" s="6" t="s">
        <v>214</v>
      </c>
      <c r="B137" s="6" t="s">
        <v>215</v>
      </c>
      <c r="C137" s="8">
        <v>12.1</v>
      </c>
      <c r="D137" s="22">
        <v>0.96689497716895001</v>
      </c>
      <c r="E137" s="18">
        <v>1</v>
      </c>
      <c r="F137" s="18">
        <v>0.99404761904761896</v>
      </c>
      <c r="G137" s="18">
        <v>1</v>
      </c>
      <c r="H137" s="18">
        <v>0.91666666666666696</v>
      </c>
      <c r="I137" s="18">
        <v>1</v>
      </c>
      <c r="J137" s="18">
        <v>0.97361111111111098</v>
      </c>
      <c r="K137" s="18">
        <v>1</v>
      </c>
      <c r="L137" s="18">
        <v>1</v>
      </c>
      <c r="M137" s="18">
        <v>0.96666666666666701</v>
      </c>
      <c r="N137" s="18">
        <v>0.93010752688172005</v>
      </c>
      <c r="O137" s="18">
        <v>0.95277777777777795</v>
      </c>
      <c r="P137" s="18">
        <v>0.86962365591397905</v>
      </c>
      <c r="Q137" s="19"/>
    </row>
    <row r="138" spans="1:17" ht="15" customHeight="1" x14ac:dyDescent="0.3">
      <c r="A138" s="6" t="s">
        <v>210</v>
      </c>
      <c r="B138" s="6" t="s">
        <v>65</v>
      </c>
      <c r="C138" s="8">
        <v>11.9</v>
      </c>
      <c r="D138" s="22">
        <v>0.96735159817351601</v>
      </c>
      <c r="E138" s="20">
        <v>0.67204301075268802</v>
      </c>
      <c r="F138" s="18">
        <v>0.97619047619047605</v>
      </c>
      <c r="G138" s="18">
        <v>0.99193548387096797</v>
      </c>
      <c r="H138" s="18">
        <v>1</v>
      </c>
      <c r="I138" s="18">
        <v>1</v>
      </c>
      <c r="J138" s="18">
        <v>0.97777777777777797</v>
      </c>
      <c r="K138" s="18">
        <v>0.99731182795698903</v>
      </c>
      <c r="L138" s="18">
        <v>0.99731182795698903</v>
      </c>
      <c r="M138" s="18">
        <v>1</v>
      </c>
      <c r="N138" s="18">
        <v>1</v>
      </c>
      <c r="O138" s="18">
        <v>1</v>
      </c>
      <c r="P138" s="18">
        <v>1</v>
      </c>
      <c r="Q138" s="19"/>
    </row>
    <row r="139" spans="1:17" ht="15" customHeight="1" x14ac:dyDescent="0.3">
      <c r="A139" s="6" t="s">
        <v>357</v>
      </c>
      <c r="B139" s="6" t="s">
        <v>275</v>
      </c>
      <c r="C139" s="8">
        <v>11.7</v>
      </c>
      <c r="D139" s="22">
        <v>0.96803652968036502</v>
      </c>
      <c r="E139" s="18">
        <v>0.967741935483871</v>
      </c>
      <c r="F139" s="18">
        <v>1</v>
      </c>
      <c r="G139" s="18">
        <v>0.91532258064516103</v>
      </c>
      <c r="H139" s="18">
        <v>0.96388888888888902</v>
      </c>
      <c r="I139" s="18">
        <v>0.94623655913978499</v>
      </c>
      <c r="J139" s="18">
        <v>0.95694444444444504</v>
      </c>
      <c r="K139" s="18">
        <v>1</v>
      </c>
      <c r="L139" s="18">
        <v>0.93548387096774199</v>
      </c>
      <c r="M139" s="18">
        <v>1</v>
      </c>
      <c r="N139" s="18">
        <v>0.967741935483871</v>
      </c>
      <c r="O139" s="18">
        <v>1</v>
      </c>
      <c r="P139" s="18">
        <v>0.967741935483871</v>
      </c>
      <c r="Q139" s="19"/>
    </row>
    <row r="140" spans="1:17" ht="15" customHeight="1" x14ac:dyDescent="0.3">
      <c r="A140" s="6" t="s">
        <v>200</v>
      </c>
      <c r="B140" s="6" t="s">
        <v>169</v>
      </c>
      <c r="C140" s="8">
        <v>11.5</v>
      </c>
      <c r="D140" s="22">
        <v>0.96837899543379002</v>
      </c>
      <c r="E140" s="18">
        <v>0.99731182795698903</v>
      </c>
      <c r="F140" s="18">
        <v>0.94642857142857095</v>
      </c>
      <c r="G140" s="18">
        <v>1</v>
      </c>
      <c r="H140" s="18">
        <v>1</v>
      </c>
      <c r="I140" s="18">
        <v>0.97177419354838701</v>
      </c>
      <c r="J140" s="18">
        <v>1</v>
      </c>
      <c r="K140" s="20">
        <v>0.70967741935483897</v>
      </c>
      <c r="L140" s="18">
        <v>1</v>
      </c>
      <c r="M140" s="18">
        <v>1</v>
      </c>
      <c r="N140" s="18">
        <v>0.99731182795698903</v>
      </c>
      <c r="O140" s="18">
        <v>1</v>
      </c>
      <c r="P140" s="18">
        <v>1</v>
      </c>
      <c r="Q140" s="17" t="s">
        <v>536</v>
      </c>
    </row>
    <row r="141" spans="1:17" ht="15" customHeight="1" x14ac:dyDescent="0.3">
      <c r="A141" s="6" t="s">
        <v>84</v>
      </c>
      <c r="B141" s="6" t="s">
        <v>85</v>
      </c>
      <c r="C141" s="8">
        <v>11.5</v>
      </c>
      <c r="D141" s="22">
        <v>0.96849315068493202</v>
      </c>
      <c r="E141" s="18">
        <v>1</v>
      </c>
      <c r="F141" s="18">
        <v>1</v>
      </c>
      <c r="G141" s="18">
        <v>0.956989247311828</v>
      </c>
      <c r="H141" s="18">
        <v>0.99583333333333302</v>
      </c>
      <c r="I141" s="18">
        <v>0.90591397849462396</v>
      </c>
      <c r="J141" s="18">
        <v>0.98055555555555596</v>
      </c>
      <c r="K141" s="18">
        <v>0.95430107526881702</v>
      </c>
      <c r="L141" s="18">
        <v>0.99596774193548399</v>
      </c>
      <c r="M141" s="18">
        <v>0.98333333333333295</v>
      </c>
      <c r="N141" s="18">
        <v>0.98118279569892497</v>
      </c>
      <c r="O141" s="18">
        <v>0.98888888888888904</v>
      </c>
      <c r="P141" s="18">
        <v>0.88440860215053796</v>
      </c>
      <c r="Q141" s="19"/>
    </row>
    <row r="142" spans="1:17" ht="15" customHeight="1" x14ac:dyDescent="0.3">
      <c r="A142" s="6" t="s">
        <v>459</v>
      </c>
      <c r="B142" s="6" t="s">
        <v>454</v>
      </c>
      <c r="C142" s="8">
        <v>11.5</v>
      </c>
      <c r="D142" s="14">
        <v>0.30273972602739702</v>
      </c>
      <c r="E142" s="19"/>
      <c r="F142" s="19"/>
      <c r="G142" s="19"/>
      <c r="H142" s="19"/>
      <c r="I142" s="19"/>
      <c r="J142" s="19"/>
      <c r="K142" s="19"/>
      <c r="L142" s="19"/>
      <c r="M142" s="20">
        <v>0.61666666666666703</v>
      </c>
      <c r="N142" s="18">
        <v>1</v>
      </c>
      <c r="O142" s="18">
        <v>1</v>
      </c>
      <c r="P142" s="18">
        <v>1</v>
      </c>
      <c r="Q142" s="17" t="s">
        <v>537</v>
      </c>
    </row>
    <row r="143" spans="1:17" ht="15" customHeight="1" x14ac:dyDescent="0.3">
      <c r="A143" s="6" t="s">
        <v>43</v>
      </c>
      <c r="B143" s="6" t="s">
        <v>44</v>
      </c>
      <c r="C143" s="8">
        <v>11.3</v>
      </c>
      <c r="D143" s="22">
        <v>0.96906392694063903</v>
      </c>
      <c r="E143" s="18">
        <v>1</v>
      </c>
      <c r="F143" s="18">
        <v>0.983630952380952</v>
      </c>
      <c r="G143" s="18">
        <v>1</v>
      </c>
      <c r="H143" s="18">
        <v>0.98333333333333295</v>
      </c>
      <c r="I143" s="18">
        <v>1</v>
      </c>
      <c r="J143" s="18">
        <v>1</v>
      </c>
      <c r="K143" s="18">
        <v>1</v>
      </c>
      <c r="L143" s="18">
        <v>1</v>
      </c>
      <c r="M143" s="18">
        <v>1</v>
      </c>
      <c r="N143" s="20">
        <v>0.66666666666666696</v>
      </c>
      <c r="O143" s="18">
        <v>1</v>
      </c>
      <c r="P143" s="18">
        <v>1</v>
      </c>
      <c r="Q143" s="17" t="s">
        <v>536</v>
      </c>
    </row>
    <row r="144" spans="1:17" ht="15" customHeight="1" x14ac:dyDescent="0.3">
      <c r="A144" s="6" t="s">
        <v>457</v>
      </c>
      <c r="B144" s="6" t="s">
        <v>454</v>
      </c>
      <c r="C144" s="8">
        <v>11.2</v>
      </c>
      <c r="D144" s="14">
        <v>0.30342465753424702</v>
      </c>
      <c r="E144" s="19"/>
      <c r="F144" s="19"/>
      <c r="G144" s="19"/>
      <c r="H144" s="19"/>
      <c r="I144" s="19"/>
      <c r="J144" s="19"/>
      <c r="K144" s="19"/>
      <c r="L144" s="19"/>
      <c r="M144" s="20">
        <v>0.63333333333333297</v>
      </c>
      <c r="N144" s="18">
        <v>0.99193548387096797</v>
      </c>
      <c r="O144" s="18">
        <v>1</v>
      </c>
      <c r="P144" s="18">
        <v>1</v>
      </c>
      <c r="Q144" s="17" t="s">
        <v>537</v>
      </c>
    </row>
    <row r="145" spans="1:17" ht="15" customHeight="1" x14ac:dyDescent="0.3">
      <c r="A145" s="6" t="s">
        <v>149</v>
      </c>
      <c r="B145" s="6" t="s">
        <v>150</v>
      </c>
      <c r="C145" s="8">
        <v>11.2</v>
      </c>
      <c r="D145" s="22">
        <v>0.96940639269406403</v>
      </c>
      <c r="E145" s="18">
        <v>0.97043010752688197</v>
      </c>
      <c r="F145" s="20">
        <v>0.75</v>
      </c>
      <c r="G145" s="18">
        <v>1</v>
      </c>
      <c r="H145" s="18">
        <v>0.99722222222222201</v>
      </c>
      <c r="I145" s="18">
        <v>1</v>
      </c>
      <c r="J145" s="18">
        <v>0.95555555555555605</v>
      </c>
      <c r="K145" s="18">
        <v>1</v>
      </c>
      <c r="L145" s="18">
        <v>1</v>
      </c>
      <c r="M145" s="18">
        <v>0.97361111111111098</v>
      </c>
      <c r="N145" s="18">
        <v>0.978494623655914</v>
      </c>
      <c r="O145" s="18">
        <v>1</v>
      </c>
      <c r="P145" s="18">
        <v>0.98790322580645196</v>
      </c>
      <c r="Q145" s="19"/>
    </row>
    <row r="146" spans="1:17" ht="15" customHeight="1" x14ac:dyDescent="0.3">
      <c r="A146" s="6" t="s">
        <v>181</v>
      </c>
      <c r="B146" s="6" t="s">
        <v>182</v>
      </c>
      <c r="C146" s="8">
        <v>11.2</v>
      </c>
      <c r="D146" s="22">
        <v>0.96940639269406403</v>
      </c>
      <c r="E146" s="18">
        <v>0.99596774193548399</v>
      </c>
      <c r="F146" s="18">
        <v>0.99404761904761896</v>
      </c>
      <c r="G146" s="20">
        <v>0.67876344086021501</v>
      </c>
      <c r="H146" s="18">
        <v>1</v>
      </c>
      <c r="I146" s="18">
        <v>1</v>
      </c>
      <c r="J146" s="18">
        <v>1</v>
      </c>
      <c r="K146" s="18">
        <v>1</v>
      </c>
      <c r="L146" s="18">
        <v>1</v>
      </c>
      <c r="M146" s="18">
        <v>1</v>
      </c>
      <c r="N146" s="18">
        <v>1</v>
      </c>
      <c r="O146" s="18">
        <v>1</v>
      </c>
      <c r="P146" s="18">
        <v>0.97043010752688197</v>
      </c>
      <c r="Q146" s="17" t="s">
        <v>536</v>
      </c>
    </row>
    <row r="147" spans="1:17" ht="15" customHeight="1" x14ac:dyDescent="0.3">
      <c r="A147" s="6" t="s">
        <v>339</v>
      </c>
      <c r="B147" s="6" t="s">
        <v>272</v>
      </c>
      <c r="C147" s="8">
        <v>11</v>
      </c>
      <c r="D147" s="22">
        <v>0.96986301369863004</v>
      </c>
      <c r="E147" s="18">
        <v>1</v>
      </c>
      <c r="F147" s="18">
        <v>1</v>
      </c>
      <c r="G147" s="18">
        <v>1</v>
      </c>
      <c r="H147" s="18">
        <v>1</v>
      </c>
      <c r="I147" s="18">
        <v>1</v>
      </c>
      <c r="J147" s="18">
        <v>0.83333333333333304</v>
      </c>
      <c r="K147" s="18">
        <v>1</v>
      </c>
      <c r="L147" s="18">
        <v>1</v>
      </c>
      <c r="M147" s="18">
        <v>0.8</v>
      </c>
      <c r="N147" s="18">
        <v>1</v>
      </c>
      <c r="O147" s="18">
        <v>1</v>
      </c>
      <c r="P147" s="18">
        <v>1</v>
      </c>
      <c r="Q147" s="19"/>
    </row>
    <row r="148" spans="1:17" ht="15" customHeight="1" x14ac:dyDescent="0.3">
      <c r="A148" s="6" t="s">
        <v>129</v>
      </c>
      <c r="B148" s="6" t="s">
        <v>59</v>
      </c>
      <c r="C148" s="8">
        <v>11</v>
      </c>
      <c r="D148" s="22">
        <v>0.96997716894977204</v>
      </c>
      <c r="E148" s="18">
        <v>0.99462365591397905</v>
      </c>
      <c r="F148" s="18">
        <v>1</v>
      </c>
      <c r="G148" s="20">
        <v>0.66263440860215095</v>
      </c>
      <c r="H148" s="18">
        <v>1</v>
      </c>
      <c r="I148" s="18">
        <v>1</v>
      </c>
      <c r="J148" s="18">
        <v>1</v>
      </c>
      <c r="K148" s="18">
        <v>1</v>
      </c>
      <c r="L148" s="18">
        <v>0.989247311827957</v>
      </c>
      <c r="M148" s="18">
        <v>1</v>
      </c>
      <c r="N148" s="18">
        <v>1</v>
      </c>
      <c r="O148" s="18">
        <v>1</v>
      </c>
      <c r="P148" s="18">
        <v>1</v>
      </c>
      <c r="Q148" s="17" t="s">
        <v>536</v>
      </c>
    </row>
    <row r="149" spans="1:17" ht="15" customHeight="1" x14ac:dyDescent="0.3">
      <c r="A149" s="6" t="s">
        <v>35</v>
      </c>
      <c r="B149" s="6" t="s">
        <v>36</v>
      </c>
      <c r="C149" s="8">
        <v>10.8</v>
      </c>
      <c r="D149" s="22">
        <v>0.97031963470319604</v>
      </c>
      <c r="E149" s="18">
        <v>1</v>
      </c>
      <c r="F149" s="18">
        <v>1</v>
      </c>
      <c r="G149" s="18">
        <v>1</v>
      </c>
      <c r="H149" s="18">
        <v>1</v>
      </c>
      <c r="I149" s="18">
        <v>1</v>
      </c>
      <c r="J149" s="18">
        <v>0.98888888888888904</v>
      </c>
      <c r="K149" s="18">
        <v>1</v>
      </c>
      <c r="L149" s="18">
        <v>1</v>
      </c>
      <c r="M149" s="18">
        <v>1</v>
      </c>
      <c r="N149" s="18">
        <v>1</v>
      </c>
      <c r="O149" s="20">
        <v>0.76666666666666705</v>
      </c>
      <c r="P149" s="18">
        <v>0.88709677419354804</v>
      </c>
      <c r="Q149" s="19"/>
    </row>
    <row r="150" spans="1:17" ht="15" customHeight="1" x14ac:dyDescent="0.3">
      <c r="A150" s="6" t="s">
        <v>102</v>
      </c>
      <c r="B150" s="6" t="s">
        <v>85</v>
      </c>
      <c r="C150" s="8">
        <v>10.8</v>
      </c>
      <c r="D150" s="22">
        <v>0.97031963470319604</v>
      </c>
      <c r="E150" s="18">
        <v>1</v>
      </c>
      <c r="F150" s="18">
        <v>1</v>
      </c>
      <c r="G150" s="18">
        <v>0.98655913978494603</v>
      </c>
      <c r="H150" s="18">
        <v>0.89583333333333304</v>
      </c>
      <c r="I150" s="18">
        <v>1</v>
      </c>
      <c r="J150" s="18">
        <v>0.98055555555555596</v>
      </c>
      <c r="K150" s="18">
        <v>0.978494623655914</v>
      </c>
      <c r="L150" s="18">
        <v>0.94220430107526898</v>
      </c>
      <c r="M150" s="18">
        <v>0.97777777777777797</v>
      </c>
      <c r="N150" s="18">
        <v>0.97580645161290303</v>
      </c>
      <c r="O150" s="18">
        <v>1</v>
      </c>
      <c r="P150" s="18">
        <v>0.90860215053763405</v>
      </c>
      <c r="Q150" s="19"/>
    </row>
    <row r="151" spans="1:17" ht="15" customHeight="1" x14ac:dyDescent="0.3">
      <c r="A151" s="6" t="s">
        <v>383</v>
      </c>
      <c r="B151" s="6" t="s">
        <v>242</v>
      </c>
      <c r="C151" s="8">
        <v>10.8</v>
      </c>
      <c r="D151" s="22">
        <v>0.88538812785388099</v>
      </c>
      <c r="E151" s="19"/>
      <c r="F151" s="20">
        <v>0.61309523809523803</v>
      </c>
      <c r="G151" s="18">
        <v>1</v>
      </c>
      <c r="H151" s="18">
        <v>1</v>
      </c>
      <c r="I151" s="18">
        <v>1</v>
      </c>
      <c r="J151" s="18">
        <v>1</v>
      </c>
      <c r="K151" s="18">
        <v>1</v>
      </c>
      <c r="L151" s="18">
        <v>1</v>
      </c>
      <c r="M151" s="18">
        <v>1</v>
      </c>
      <c r="N151" s="18">
        <v>1</v>
      </c>
      <c r="O151" s="18">
        <v>1</v>
      </c>
      <c r="P151" s="18">
        <v>1</v>
      </c>
      <c r="Q151" s="19"/>
    </row>
    <row r="152" spans="1:17" ht="15" customHeight="1" x14ac:dyDescent="0.3">
      <c r="A152" s="6" t="s">
        <v>473</v>
      </c>
      <c r="B152" s="6" t="s">
        <v>468</v>
      </c>
      <c r="C152" s="8">
        <v>10.8</v>
      </c>
      <c r="D152" s="14">
        <v>0.13767123287671201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0">
        <v>0.65</v>
      </c>
      <c r="P152" s="18">
        <v>0.99193548387096797</v>
      </c>
      <c r="Q152" s="17" t="s">
        <v>537</v>
      </c>
    </row>
    <row r="153" spans="1:17" ht="15" customHeight="1" x14ac:dyDescent="0.3">
      <c r="A153" s="6" t="s">
        <v>347</v>
      </c>
      <c r="B153" s="6" t="s">
        <v>348</v>
      </c>
      <c r="C153" s="8">
        <v>10</v>
      </c>
      <c r="D153" s="22">
        <v>0.97260273972602695</v>
      </c>
      <c r="E153" s="18">
        <v>1</v>
      </c>
      <c r="F153" s="18">
        <v>1</v>
      </c>
      <c r="G153" s="18">
        <v>1</v>
      </c>
      <c r="H153" s="18">
        <v>1</v>
      </c>
      <c r="I153" s="18">
        <v>1</v>
      </c>
      <c r="J153" s="18">
        <v>1</v>
      </c>
      <c r="K153" s="18">
        <v>1</v>
      </c>
      <c r="L153" s="18">
        <v>1</v>
      </c>
      <c r="M153" s="18">
        <v>1</v>
      </c>
      <c r="N153" s="18">
        <v>1</v>
      </c>
      <c r="O153" s="18">
        <v>1</v>
      </c>
      <c r="P153" s="20">
        <v>0.67741935483870996</v>
      </c>
      <c r="Q153" s="17" t="s">
        <v>536</v>
      </c>
    </row>
    <row r="154" spans="1:17" ht="15" customHeight="1" x14ac:dyDescent="0.3">
      <c r="A154" s="6" t="s">
        <v>70</v>
      </c>
      <c r="B154" s="6" t="s">
        <v>71</v>
      </c>
      <c r="C154" s="8">
        <v>9.8000000000000007</v>
      </c>
      <c r="D154" s="22">
        <v>0.97305936073059396</v>
      </c>
      <c r="E154" s="20">
        <v>0.76344086021505397</v>
      </c>
      <c r="F154" s="18">
        <v>0.97023809523809501</v>
      </c>
      <c r="G154" s="18">
        <v>1</v>
      </c>
      <c r="H154" s="18">
        <v>0.968055555555556</v>
      </c>
      <c r="I154" s="18">
        <v>0.98790322580645196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0.98888888888888904</v>
      </c>
      <c r="P154" s="18">
        <v>1</v>
      </c>
      <c r="Q154" s="19"/>
    </row>
    <row r="155" spans="1:17" ht="15" customHeight="1" x14ac:dyDescent="0.3">
      <c r="A155" s="6" t="s">
        <v>314</v>
      </c>
      <c r="B155" s="6" t="s">
        <v>315</v>
      </c>
      <c r="C155" s="8">
        <v>9.6999999999999993</v>
      </c>
      <c r="D155" s="22">
        <v>0.97351598173515996</v>
      </c>
      <c r="E155" s="18">
        <v>1</v>
      </c>
      <c r="F155" s="18">
        <v>0.97916666666666696</v>
      </c>
      <c r="G155" s="18">
        <v>1</v>
      </c>
      <c r="H155" s="18">
        <v>0.98472222222222205</v>
      </c>
      <c r="I155" s="18">
        <v>1</v>
      </c>
      <c r="J155" s="18">
        <v>1</v>
      </c>
      <c r="K155" s="18">
        <v>0.89381720430107503</v>
      </c>
      <c r="L155" s="18">
        <v>0.82795698924731198</v>
      </c>
      <c r="M155" s="18">
        <v>1</v>
      </c>
      <c r="N155" s="18">
        <v>1</v>
      </c>
      <c r="O155" s="18">
        <v>1</v>
      </c>
      <c r="P155" s="18">
        <v>1</v>
      </c>
      <c r="Q155" s="19"/>
    </row>
    <row r="156" spans="1:17" ht="15" customHeight="1" x14ac:dyDescent="0.3">
      <c r="A156" s="6" t="s">
        <v>22</v>
      </c>
      <c r="B156" s="6" t="s">
        <v>23</v>
      </c>
      <c r="C156" s="8">
        <v>9.6</v>
      </c>
      <c r="D156" s="22">
        <v>0.97374429223744297</v>
      </c>
      <c r="E156" s="18">
        <v>0.83870967741935498</v>
      </c>
      <c r="F156" s="18">
        <v>1</v>
      </c>
      <c r="G156" s="18">
        <v>0.99731182795698903</v>
      </c>
      <c r="H156" s="18">
        <v>0.99444444444444502</v>
      </c>
      <c r="I156" s="18">
        <v>1</v>
      </c>
      <c r="J156" s="18">
        <v>0.99305555555555602</v>
      </c>
      <c r="K156" s="18">
        <v>1</v>
      </c>
      <c r="L156" s="18">
        <v>1</v>
      </c>
      <c r="M156" s="18">
        <v>1</v>
      </c>
      <c r="N156" s="18">
        <v>1</v>
      </c>
      <c r="O156" s="18">
        <v>0.86250000000000004</v>
      </c>
      <c r="P156" s="18">
        <v>1</v>
      </c>
      <c r="Q156" s="19"/>
    </row>
    <row r="157" spans="1:17" ht="15" customHeight="1" x14ac:dyDescent="0.3">
      <c r="A157" s="6" t="s">
        <v>241</v>
      </c>
      <c r="B157" s="6" t="s">
        <v>242</v>
      </c>
      <c r="C157" s="8">
        <v>9.5</v>
      </c>
      <c r="D157" s="22">
        <v>0.97385844748858497</v>
      </c>
      <c r="E157" s="18">
        <v>0.99193548387096797</v>
      </c>
      <c r="F157" s="18">
        <v>0.94642857142857095</v>
      </c>
      <c r="G157" s="18">
        <v>1</v>
      </c>
      <c r="H157" s="18">
        <v>1</v>
      </c>
      <c r="I157" s="18">
        <v>1</v>
      </c>
      <c r="J157" s="18">
        <v>1</v>
      </c>
      <c r="K157" s="18">
        <v>1</v>
      </c>
      <c r="L157" s="18">
        <v>1</v>
      </c>
      <c r="M157" s="18">
        <v>1</v>
      </c>
      <c r="N157" s="20">
        <v>0.74865591397849496</v>
      </c>
      <c r="O157" s="18">
        <v>1</v>
      </c>
      <c r="P157" s="18">
        <v>1</v>
      </c>
      <c r="Q157" s="19"/>
    </row>
    <row r="158" spans="1:17" ht="15" customHeight="1" x14ac:dyDescent="0.3">
      <c r="A158" s="6" t="s">
        <v>271</v>
      </c>
      <c r="B158" s="6" t="s">
        <v>272</v>
      </c>
      <c r="C158" s="8">
        <v>9.4</v>
      </c>
      <c r="D158" s="22">
        <v>0.97420091324200897</v>
      </c>
      <c r="E158" s="18">
        <v>0.99327956989247301</v>
      </c>
      <c r="F158" s="18">
        <v>0.95684523809523803</v>
      </c>
      <c r="G158" s="18">
        <v>1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>
        <v>1</v>
      </c>
      <c r="P158" s="20">
        <v>0.74193548387096797</v>
      </c>
      <c r="Q158" s="19"/>
    </row>
    <row r="159" spans="1:17" ht="15" customHeight="1" x14ac:dyDescent="0.3">
      <c r="A159" s="6" t="s">
        <v>257</v>
      </c>
      <c r="B159" s="6" t="s">
        <v>255</v>
      </c>
      <c r="C159" s="8">
        <v>9.3000000000000007</v>
      </c>
      <c r="D159" s="22">
        <v>0.97454337899543397</v>
      </c>
      <c r="E159" s="18">
        <v>0.99731182795698903</v>
      </c>
      <c r="F159" s="18">
        <v>0.93303571428571397</v>
      </c>
      <c r="G159" s="18">
        <v>1</v>
      </c>
      <c r="H159" s="18">
        <v>1</v>
      </c>
      <c r="I159" s="18">
        <v>1</v>
      </c>
      <c r="J159" s="18">
        <v>1</v>
      </c>
      <c r="K159" s="20">
        <v>0.77419354838709697</v>
      </c>
      <c r="L159" s="18">
        <v>1</v>
      </c>
      <c r="M159" s="18">
        <v>0.98888888888888904</v>
      </c>
      <c r="N159" s="18">
        <v>1</v>
      </c>
      <c r="O159" s="18">
        <v>1</v>
      </c>
      <c r="P159" s="18">
        <v>1</v>
      </c>
      <c r="Q159" s="19"/>
    </row>
    <row r="160" spans="1:17" ht="15" customHeight="1" x14ac:dyDescent="0.3">
      <c r="A160" s="6" t="s">
        <v>189</v>
      </c>
      <c r="B160" s="6" t="s">
        <v>38</v>
      </c>
      <c r="C160" s="8">
        <v>9.1</v>
      </c>
      <c r="D160" s="22">
        <v>0.97499999999999998</v>
      </c>
      <c r="E160" s="18">
        <v>0.99731182795698903</v>
      </c>
      <c r="F160" s="18">
        <v>0.93601190476190499</v>
      </c>
      <c r="G160" s="18">
        <v>0.96370967741935498</v>
      </c>
      <c r="H160" s="18">
        <v>0.81666666666666698</v>
      </c>
      <c r="I160" s="18">
        <v>1</v>
      </c>
      <c r="J160" s="18">
        <v>1</v>
      </c>
      <c r="K160" s="18">
        <v>1</v>
      </c>
      <c r="L160" s="18">
        <v>1</v>
      </c>
      <c r="M160" s="18">
        <v>1</v>
      </c>
      <c r="N160" s="18">
        <v>1</v>
      </c>
      <c r="O160" s="18">
        <v>0.97916666666666696</v>
      </c>
      <c r="P160" s="18">
        <v>1</v>
      </c>
      <c r="Q160" s="19"/>
    </row>
    <row r="161" spans="1:17" ht="15" customHeight="1" x14ac:dyDescent="0.3">
      <c r="A161" s="6" t="s">
        <v>458</v>
      </c>
      <c r="B161" s="6" t="s">
        <v>62</v>
      </c>
      <c r="C161" s="8">
        <v>9</v>
      </c>
      <c r="D161" s="14">
        <v>0.227397260273973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20">
        <v>0.70967741935483897</v>
      </c>
      <c r="O161" s="18">
        <v>1</v>
      </c>
      <c r="P161" s="18">
        <v>1</v>
      </c>
      <c r="Q161" s="17" t="s">
        <v>537</v>
      </c>
    </row>
    <row r="162" spans="1:17" ht="15" customHeight="1" x14ac:dyDescent="0.3">
      <c r="A162" s="6" t="s">
        <v>466</v>
      </c>
      <c r="B162" s="6" t="s">
        <v>62</v>
      </c>
      <c r="C162" s="8">
        <v>9</v>
      </c>
      <c r="D162" s="14">
        <v>0.227397260273973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20">
        <v>0.70967741935483897</v>
      </c>
      <c r="O162" s="18">
        <v>1</v>
      </c>
      <c r="P162" s="18">
        <v>1</v>
      </c>
      <c r="Q162" s="17" t="s">
        <v>537</v>
      </c>
    </row>
    <row r="163" spans="1:17" ht="15" customHeight="1" x14ac:dyDescent="0.3">
      <c r="A163" s="6" t="s">
        <v>188</v>
      </c>
      <c r="B163" s="6" t="s">
        <v>132</v>
      </c>
      <c r="C163" s="8">
        <v>9</v>
      </c>
      <c r="D163" s="22">
        <v>0.97545662100456598</v>
      </c>
      <c r="E163" s="18">
        <v>1</v>
      </c>
      <c r="F163" s="18">
        <v>1</v>
      </c>
      <c r="G163" s="18">
        <v>1</v>
      </c>
      <c r="H163" s="18">
        <v>0.98055555555555596</v>
      </c>
      <c r="I163" s="18">
        <v>1</v>
      </c>
      <c r="J163" s="18">
        <v>0.99722222222222201</v>
      </c>
      <c r="K163" s="18">
        <v>0.99327956989247301</v>
      </c>
      <c r="L163" s="20">
        <v>0.739247311827957</v>
      </c>
      <c r="M163" s="18">
        <v>1</v>
      </c>
      <c r="N163" s="18">
        <v>1</v>
      </c>
      <c r="O163" s="18">
        <v>1</v>
      </c>
      <c r="P163" s="18">
        <v>1</v>
      </c>
      <c r="Q163" s="19"/>
    </row>
    <row r="164" spans="1:17" ht="15" customHeight="1" x14ac:dyDescent="0.3">
      <c r="A164" s="6" t="s">
        <v>261</v>
      </c>
      <c r="B164" s="6" t="s">
        <v>246</v>
      </c>
      <c r="C164" s="8">
        <v>8.8000000000000007</v>
      </c>
      <c r="D164" s="22">
        <v>0.97591324200913199</v>
      </c>
      <c r="E164" s="18">
        <v>0.96370967741935498</v>
      </c>
      <c r="F164" s="20">
        <v>0.74851190476190499</v>
      </c>
      <c r="G164" s="18">
        <v>0.97983870967741904</v>
      </c>
      <c r="H164" s="18">
        <v>1</v>
      </c>
      <c r="I164" s="18">
        <v>1</v>
      </c>
      <c r="J164" s="18">
        <v>1</v>
      </c>
      <c r="K164" s="18">
        <v>1</v>
      </c>
      <c r="L164" s="18">
        <v>1</v>
      </c>
      <c r="M164" s="18">
        <v>1</v>
      </c>
      <c r="N164" s="18">
        <v>1</v>
      </c>
      <c r="O164" s="18">
        <v>1</v>
      </c>
      <c r="P164" s="18">
        <v>1</v>
      </c>
      <c r="Q164" s="19"/>
    </row>
    <row r="165" spans="1:17" ht="15" customHeight="1" x14ac:dyDescent="0.3">
      <c r="A165" s="6" t="s">
        <v>88</v>
      </c>
      <c r="B165" s="6" t="s">
        <v>89</v>
      </c>
      <c r="C165" s="8">
        <v>8.6999999999999993</v>
      </c>
      <c r="D165" s="22">
        <v>0.97625570776255699</v>
      </c>
      <c r="E165" s="18">
        <v>0.98387096774193605</v>
      </c>
      <c r="F165" s="18">
        <v>0.99107142857142905</v>
      </c>
      <c r="G165" s="18">
        <v>1</v>
      </c>
      <c r="H165" s="18">
        <v>0.98611111111111105</v>
      </c>
      <c r="I165" s="18">
        <v>0.99865591397849496</v>
      </c>
      <c r="J165" s="20">
        <v>0.75972222222222197</v>
      </c>
      <c r="K165" s="18">
        <v>0.99193548387096797</v>
      </c>
      <c r="L165" s="18">
        <v>1</v>
      </c>
      <c r="M165" s="18">
        <v>1</v>
      </c>
      <c r="N165" s="18">
        <v>1</v>
      </c>
      <c r="O165" s="18">
        <v>1</v>
      </c>
      <c r="P165" s="18">
        <v>1</v>
      </c>
      <c r="Q165" s="19"/>
    </row>
    <row r="166" spans="1:17" ht="15" customHeight="1" x14ac:dyDescent="0.3">
      <c r="A166" s="6" t="s">
        <v>25</v>
      </c>
      <c r="B166" s="6" t="s">
        <v>26</v>
      </c>
      <c r="C166" s="8">
        <v>8.6</v>
      </c>
      <c r="D166" s="22">
        <v>0.97636986301369899</v>
      </c>
      <c r="E166" s="18">
        <v>1</v>
      </c>
      <c r="F166" s="18">
        <v>0.92857142857142905</v>
      </c>
      <c r="G166" s="18">
        <v>0.93279569892473102</v>
      </c>
      <c r="H166" s="18">
        <v>0.99444444444444502</v>
      </c>
      <c r="I166" s="18">
        <v>1</v>
      </c>
      <c r="J166" s="18">
        <v>0.86666666666666703</v>
      </c>
      <c r="K166" s="18">
        <v>0.99731182795698903</v>
      </c>
      <c r="L166" s="18">
        <v>1</v>
      </c>
      <c r="M166" s="18">
        <v>1</v>
      </c>
      <c r="N166" s="18">
        <v>1</v>
      </c>
      <c r="O166" s="18">
        <v>0.99027777777777803</v>
      </c>
      <c r="P166" s="18">
        <v>1</v>
      </c>
      <c r="Q166" s="19"/>
    </row>
    <row r="167" spans="1:17" ht="15" customHeight="1" x14ac:dyDescent="0.3">
      <c r="A167" s="6" t="s">
        <v>366</v>
      </c>
      <c r="B167" s="6" t="s">
        <v>367</v>
      </c>
      <c r="C167" s="8">
        <v>8.6</v>
      </c>
      <c r="D167" s="22">
        <v>0.81472602739725997</v>
      </c>
      <c r="E167" s="19"/>
      <c r="F167" s="19"/>
      <c r="G167" s="18">
        <v>0.89247311827956999</v>
      </c>
      <c r="H167" s="18">
        <v>0.97222222222222199</v>
      </c>
      <c r="I167" s="18">
        <v>0.95967741935483897</v>
      </c>
      <c r="J167" s="18">
        <v>0.99722222222222201</v>
      </c>
      <c r="K167" s="18">
        <v>0.99731182795698903</v>
      </c>
      <c r="L167" s="18">
        <v>0.98387096774193605</v>
      </c>
      <c r="M167" s="18">
        <v>0.98194444444444395</v>
      </c>
      <c r="N167" s="18">
        <v>0.96639784946236595</v>
      </c>
      <c r="O167" s="18">
        <v>0.968055555555556</v>
      </c>
      <c r="P167" s="18">
        <v>1</v>
      </c>
      <c r="Q167" s="19"/>
    </row>
    <row r="168" spans="1:17" ht="15" customHeight="1" x14ac:dyDescent="0.3">
      <c r="A168" s="6" t="s">
        <v>223</v>
      </c>
      <c r="B168" s="6" t="s">
        <v>169</v>
      </c>
      <c r="C168" s="8">
        <v>8.6</v>
      </c>
      <c r="D168" s="22">
        <v>0.97636986301369899</v>
      </c>
      <c r="E168" s="18">
        <v>0.99731182795698903</v>
      </c>
      <c r="F168" s="18">
        <v>0.96577380952380998</v>
      </c>
      <c r="G168" s="18">
        <v>1</v>
      </c>
      <c r="H168" s="18">
        <v>1</v>
      </c>
      <c r="I168" s="18">
        <v>1</v>
      </c>
      <c r="J168" s="18">
        <v>1</v>
      </c>
      <c r="K168" s="18">
        <v>1</v>
      </c>
      <c r="L168" s="18">
        <v>1</v>
      </c>
      <c r="M168" s="18">
        <v>1</v>
      </c>
      <c r="N168" s="20">
        <v>0.75537634408602194</v>
      </c>
      <c r="O168" s="18">
        <v>1</v>
      </c>
      <c r="P168" s="18">
        <v>1</v>
      </c>
      <c r="Q168" s="19"/>
    </row>
    <row r="169" spans="1:17" ht="15" customHeight="1" x14ac:dyDescent="0.3">
      <c r="A169" s="6" t="s">
        <v>179</v>
      </c>
      <c r="B169" s="6" t="s">
        <v>169</v>
      </c>
      <c r="C169" s="8">
        <v>8.5</v>
      </c>
      <c r="D169" s="22">
        <v>0.97659817351598199</v>
      </c>
      <c r="E169" s="18">
        <v>1</v>
      </c>
      <c r="F169" s="18">
        <v>0.97321428571428603</v>
      </c>
      <c r="G169" s="18">
        <v>1</v>
      </c>
      <c r="H169" s="18">
        <v>1</v>
      </c>
      <c r="I169" s="18">
        <v>0.95564516129032295</v>
      </c>
      <c r="J169" s="18">
        <v>1</v>
      </c>
      <c r="K169" s="18">
        <v>1</v>
      </c>
      <c r="L169" s="18">
        <v>1</v>
      </c>
      <c r="M169" s="20">
        <v>0.78888888888888897</v>
      </c>
      <c r="N169" s="18">
        <v>0.99731182795698903</v>
      </c>
      <c r="O169" s="18">
        <v>1</v>
      </c>
      <c r="P169" s="18">
        <v>1</v>
      </c>
      <c r="Q169" s="19"/>
    </row>
    <row r="170" spans="1:17" ht="15" customHeight="1" x14ac:dyDescent="0.3">
      <c r="A170" s="6" t="s">
        <v>434</v>
      </c>
      <c r="B170" s="6" t="s">
        <v>386</v>
      </c>
      <c r="C170" s="8">
        <v>8.1999999999999993</v>
      </c>
      <c r="D170" s="14">
        <v>0.39680365296803699</v>
      </c>
      <c r="E170" s="19"/>
      <c r="F170" s="19"/>
      <c r="G170" s="19"/>
      <c r="H170" s="19"/>
      <c r="I170" s="19"/>
      <c r="J170" s="19"/>
      <c r="K170" s="19"/>
      <c r="L170" s="18">
        <v>0.99865591397849496</v>
      </c>
      <c r="M170" s="18">
        <v>0.99861111111111101</v>
      </c>
      <c r="N170" s="18">
        <v>0.99731182795698903</v>
      </c>
      <c r="O170" s="18">
        <v>1</v>
      </c>
      <c r="P170" s="20">
        <v>0.74193548387096797</v>
      </c>
      <c r="Q170" s="17" t="s">
        <v>537</v>
      </c>
    </row>
    <row r="171" spans="1:17" ht="15" customHeight="1" x14ac:dyDescent="0.3">
      <c r="A171" s="6" t="s">
        <v>172</v>
      </c>
      <c r="B171" s="6" t="s">
        <v>173</v>
      </c>
      <c r="C171" s="8">
        <v>8</v>
      </c>
      <c r="D171" s="22">
        <v>0.97808219178082201</v>
      </c>
      <c r="E171" s="18">
        <v>0.99731182795698903</v>
      </c>
      <c r="F171" s="18">
        <v>0.88541666666666696</v>
      </c>
      <c r="G171" s="18">
        <v>1</v>
      </c>
      <c r="H171" s="18">
        <v>1</v>
      </c>
      <c r="I171" s="18">
        <v>1</v>
      </c>
      <c r="J171" s="18">
        <v>0.99722222222222201</v>
      </c>
      <c r="K171" s="18">
        <v>0.99462365591397905</v>
      </c>
      <c r="L171" s="18">
        <v>1</v>
      </c>
      <c r="M171" s="18">
        <v>0.87361111111111101</v>
      </c>
      <c r="N171" s="18">
        <v>1</v>
      </c>
      <c r="O171" s="18">
        <v>0.99444444444444502</v>
      </c>
      <c r="P171" s="18">
        <v>0.98387096774193605</v>
      </c>
      <c r="Q171" s="19"/>
    </row>
    <row r="172" spans="1:17" ht="15" customHeight="1" x14ac:dyDescent="0.3">
      <c r="A172" s="6" t="s">
        <v>358</v>
      </c>
      <c r="B172" s="6" t="s">
        <v>352</v>
      </c>
      <c r="C172" s="8">
        <v>8</v>
      </c>
      <c r="D172" s="22">
        <v>0.97808219178082201</v>
      </c>
      <c r="E172" s="18">
        <v>1</v>
      </c>
      <c r="F172" s="18">
        <v>1</v>
      </c>
      <c r="G172" s="18">
        <v>1</v>
      </c>
      <c r="H172" s="18">
        <v>1</v>
      </c>
      <c r="I172" s="18">
        <v>1</v>
      </c>
      <c r="J172" s="18">
        <v>0.96666666666666701</v>
      </c>
      <c r="K172" s="18">
        <v>1</v>
      </c>
      <c r="L172" s="18">
        <v>1</v>
      </c>
      <c r="M172" s="18">
        <v>1</v>
      </c>
      <c r="N172" s="18">
        <v>0.967741935483871</v>
      </c>
      <c r="O172" s="18">
        <v>0.8</v>
      </c>
      <c r="P172" s="18">
        <v>1</v>
      </c>
      <c r="Q172" s="19"/>
    </row>
    <row r="173" spans="1:17" ht="15" customHeight="1" x14ac:dyDescent="0.3">
      <c r="A173" s="6" t="s">
        <v>91</v>
      </c>
      <c r="B173" s="6" t="s">
        <v>85</v>
      </c>
      <c r="C173" s="8">
        <v>8</v>
      </c>
      <c r="D173" s="22">
        <v>0.97819634703196401</v>
      </c>
      <c r="E173" s="18">
        <v>1</v>
      </c>
      <c r="F173" s="18">
        <v>1</v>
      </c>
      <c r="G173" s="18">
        <v>0.98655913978494603</v>
      </c>
      <c r="H173" s="18">
        <v>0.99583333333333302</v>
      </c>
      <c r="I173" s="18">
        <v>0.98387096774193605</v>
      </c>
      <c r="J173" s="18">
        <v>0.98055555555555596</v>
      </c>
      <c r="K173" s="18">
        <v>0.95833333333333304</v>
      </c>
      <c r="L173" s="18">
        <v>0.97580645161290303</v>
      </c>
      <c r="M173" s="18">
        <v>0.95277777777777795</v>
      </c>
      <c r="N173" s="18">
        <v>0.97983870967741904</v>
      </c>
      <c r="O173" s="18">
        <v>1</v>
      </c>
      <c r="P173" s="18">
        <v>0.92741935483870996</v>
      </c>
      <c r="Q173" s="19"/>
    </row>
    <row r="174" spans="1:17" ht="15" customHeight="1" x14ac:dyDescent="0.3">
      <c r="A174" s="6" t="s">
        <v>158</v>
      </c>
      <c r="B174" s="6" t="s">
        <v>159</v>
      </c>
      <c r="C174" s="8">
        <v>7.8</v>
      </c>
      <c r="D174" s="22">
        <v>0.97853881278538801</v>
      </c>
      <c r="E174" s="18">
        <v>0.918010752688172</v>
      </c>
      <c r="F174" s="18">
        <v>0.94791666666666696</v>
      </c>
      <c r="G174" s="18">
        <v>0.98252688172043001</v>
      </c>
      <c r="H174" s="18">
        <v>0.97777777777777797</v>
      </c>
      <c r="I174" s="18">
        <v>0.989247311827957</v>
      </c>
      <c r="J174" s="18">
        <v>0.98750000000000004</v>
      </c>
      <c r="K174" s="18">
        <v>1</v>
      </c>
      <c r="L174" s="18">
        <v>0.95430107526881702</v>
      </c>
      <c r="M174" s="18">
        <v>0.98333333333333295</v>
      </c>
      <c r="N174" s="18">
        <v>1</v>
      </c>
      <c r="O174" s="18">
        <v>1</v>
      </c>
      <c r="P174" s="18">
        <v>1</v>
      </c>
      <c r="Q174" s="19"/>
    </row>
    <row r="175" spans="1:17" ht="15" customHeight="1" x14ac:dyDescent="0.3">
      <c r="A175" s="6" t="s">
        <v>330</v>
      </c>
      <c r="B175" s="6" t="s">
        <v>85</v>
      </c>
      <c r="C175" s="8">
        <v>7.2</v>
      </c>
      <c r="D175" s="22">
        <v>0.98025114155251103</v>
      </c>
      <c r="E175" s="18">
        <v>1</v>
      </c>
      <c r="F175" s="18">
        <v>0.98214285714285698</v>
      </c>
      <c r="G175" s="18">
        <v>0.98655913978494603</v>
      </c>
      <c r="H175" s="18">
        <v>0.99583333333333302</v>
      </c>
      <c r="I175" s="18">
        <v>0.98387096774193605</v>
      </c>
      <c r="J175" s="18">
        <v>0.98055555555555596</v>
      </c>
      <c r="K175" s="18">
        <v>0.93817204301075297</v>
      </c>
      <c r="L175" s="18">
        <v>0.99596774193548399</v>
      </c>
      <c r="M175" s="18">
        <v>0.94861111111111096</v>
      </c>
      <c r="N175" s="18">
        <v>0.95161290322580705</v>
      </c>
      <c r="O175" s="18">
        <v>1</v>
      </c>
      <c r="P175" s="18">
        <v>1</v>
      </c>
      <c r="Q175" s="19"/>
    </row>
    <row r="176" spans="1:17" ht="15" customHeight="1" x14ac:dyDescent="0.3">
      <c r="A176" s="6" t="s">
        <v>248</v>
      </c>
      <c r="B176" s="6" t="s">
        <v>249</v>
      </c>
      <c r="C176" s="8">
        <v>6.7</v>
      </c>
      <c r="D176" s="22">
        <v>0.98173515981735204</v>
      </c>
      <c r="E176" s="18">
        <v>1</v>
      </c>
      <c r="F176" s="18">
        <v>1</v>
      </c>
      <c r="G176" s="18">
        <v>0.831989247311828</v>
      </c>
      <c r="H176" s="18">
        <v>0.97499999999999998</v>
      </c>
      <c r="I176" s="18">
        <v>0.978494623655914</v>
      </c>
      <c r="J176" s="18">
        <v>0.99861111111111101</v>
      </c>
      <c r="K176" s="18">
        <v>1</v>
      </c>
      <c r="L176" s="18">
        <v>1</v>
      </c>
      <c r="M176" s="18">
        <v>1</v>
      </c>
      <c r="N176" s="18">
        <v>1</v>
      </c>
      <c r="O176" s="18">
        <v>1</v>
      </c>
      <c r="P176" s="18">
        <v>1</v>
      </c>
      <c r="Q176" s="19"/>
    </row>
    <row r="177" spans="1:17" ht="15" customHeight="1" x14ac:dyDescent="0.3">
      <c r="A177" s="6" t="s">
        <v>288</v>
      </c>
      <c r="B177" s="6" t="s">
        <v>289</v>
      </c>
      <c r="C177" s="8">
        <v>6.7</v>
      </c>
      <c r="D177" s="22">
        <v>0.98173515981735204</v>
      </c>
      <c r="E177" s="18">
        <v>0.84005376344086002</v>
      </c>
      <c r="F177" s="18">
        <v>1</v>
      </c>
      <c r="G177" s="18">
        <v>1</v>
      </c>
      <c r="H177" s="18">
        <v>1</v>
      </c>
      <c r="I177" s="18">
        <v>1</v>
      </c>
      <c r="J177" s="18">
        <v>0.96666666666666701</v>
      </c>
      <c r="K177" s="18">
        <v>1</v>
      </c>
      <c r="L177" s="18">
        <v>1</v>
      </c>
      <c r="M177" s="18">
        <v>1</v>
      </c>
      <c r="N177" s="18">
        <v>1</v>
      </c>
      <c r="O177" s="18">
        <v>1</v>
      </c>
      <c r="P177" s="18">
        <v>0.97715053763440896</v>
      </c>
      <c r="Q177" s="19"/>
    </row>
    <row r="178" spans="1:17" ht="15" customHeight="1" x14ac:dyDescent="0.3">
      <c r="A178" s="6" t="s">
        <v>320</v>
      </c>
      <c r="B178" s="6" t="s">
        <v>159</v>
      </c>
      <c r="C178" s="8">
        <v>6.5</v>
      </c>
      <c r="D178" s="22">
        <v>0.98207762557077605</v>
      </c>
      <c r="E178" s="18">
        <v>0.90591397849462396</v>
      </c>
      <c r="F178" s="18">
        <v>0.952380952380952</v>
      </c>
      <c r="G178" s="18">
        <v>0.99059139784946204</v>
      </c>
      <c r="H178" s="18">
        <v>1</v>
      </c>
      <c r="I178" s="18">
        <v>1</v>
      </c>
      <c r="J178" s="18">
        <v>0.97777777777777797</v>
      </c>
      <c r="K178" s="18">
        <v>0.956989247311828</v>
      </c>
      <c r="L178" s="18">
        <v>1</v>
      </c>
      <c r="M178" s="18">
        <v>1</v>
      </c>
      <c r="N178" s="18">
        <v>1</v>
      </c>
      <c r="O178" s="18">
        <v>1</v>
      </c>
      <c r="P178" s="18">
        <v>1</v>
      </c>
      <c r="Q178" s="19"/>
    </row>
    <row r="179" spans="1:17" ht="15" customHeight="1" x14ac:dyDescent="0.3">
      <c r="A179" s="6" t="s">
        <v>97</v>
      </c>
      <c r="B179" s="6" t="s">
        <v>85</v>
      </c>
      <c r="C179" s="8">
        <v>6.4</v>
      </c>
      <c r="D179" s="22">
        <v>0.98253424657534305</v>
      </c>
      <c r="E179" s="18">
        <v>0.96639784946236595</v>
      </c>
      <c r="F179" s="18">
        <v>1</v>
      </c>
      <c r="G179" s="18">
        <v>0.98655913978494603</v>
      </c>
      <c r="H179" s="18">
        <v>0.99583333333333302</v>
      </c>
      <c r="I179" s="18">
        <v>1</v>
      </c>
      <c r="J179" s="18">
        <v>0.98055555555555596</v>
      </c>
      <c r="K179" s="18">
        <v>0.93548387096774199</v>
      </c>
      <c r="L179" s="18">
        <v>0.99596774193548399</v>
      </c>
      <c r="M179" s="18">
        <v>1</v>
      </c>
      <c r="N179" s="18">
        <v>0.99731182795698903</v>
      </c>
      <c r="O179" s="18">
        <v>1</v>
      </c>
      <c r="P179" s="18">
        <v>0.93548387096774199</v>
      </c>
      <c r="Q179" s="19"/>
    </row>
    <row r="180" spans="1:17" ht="15" customHeight="1" x14ac:dyDescent="0.3">
      <c r="A180" s="6" t="s">
        <v>467</v>
      </c>
      <c r="B180" s="6" t="s">
        <v>468</v>
      </c>
      <c r="C180" s="8">
        <v>6.3</v>
      </c>
      <c r="D180" s="14">
        <v>0.14977168949771699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0">
        <v>0.79583333333333295</v>
      </c>
      <c r="P180" s="18">
        <v>0.99327956989247301</v>
      </c>
      <c r="Q180" s="17" t="s">
        <v>537</v>
      </c>
    </row>
    <row r="181" spans="1:17" ht="15" customHeight="1" x14ac:dyDescent="0.3">
      <c r="A181" s="6" t="s">
        <v>112</v>
      </c>
      <c r="B181" s="6" t="s">
        <v>85</v>
      </c>
      <c r="C181" s="8">
        <v>6.1</v>
      </c>
      <c r="D181" s="22">
        <v>0.98321917808219195</v>
      </c>
      <c r="E181" s="18">
        <v>0.96639784946236595</v>
      </c>
      <c r="F181" s="18">
        <v>1</v>
      </c>
      <c r="G181" s="18">
        <v>0.98655913978494603</v>
      </c>
      <c r="H181" s="18">
        <v>0.99583333333333302</v>
      </c>
      <c r="I181" s="18">
        <v>1</v>
      </c>
      <c r="J181" s="18">
        <v>0.98055555555555596</v>
      </c>
      <c r="K181" s="18">
        <v>0.94354838709677402</v>
      </c>
      <c r="L181" s="18">
        <v>0.99596774193548399</v>
      </c>
      <c r="M181" s="18">
        <v>1</v>
      </c>
      <c r="N181" s="18">
        <v>0.99731182795698903</v>
      </c>
      <c r="O181" s="18">
        <v>1</v>
      </c>
      <c r="P181" s="18">
        <v>0.93548387096774199</v>
      </c>
      <c r="Q181" s="19"/>
    </row>
    <row r="182" spans="1:17" ht="15" customHeight="1" x14ac:dyDescent="0.3">
      <c r="A182" s="6" t="s">
        <v>122</v>
      </c>
      <c r="B182" s="6" t="s">
        <v>123</v>
      </c>
      <c r="C182" s="8">
        <v>6</v>
      </c>
      <c r="D182" s="22">
        <v>0.98367579908675795</v>
      </c>
      <c r="E182" s="18">
        <v>0.99193548387096797</v>
      </c>
      <c r="F182" s="18">
        <v>0.98660714285714302</v>
      </c>
      <c r="G182" s="18">
        <v>1</v>
      </c>
      <c r="H182" s="18">
        <v>0.99166666666666703</v>
      </c>
      <c r="I182" s="18">
        <v>1</v>
      </c>
      <c r="J182" s="18">
        <v>0.98888888888888904</v>
      </c>
      <c r="K182" s="18">
        <v>1</v>
      </c>
      <c r="L182" s="18">
        <v>0.99059139784946204</v>
      </c>
      <c r="M182" s="18">
        <v>1</v>
      </c>
      <c r="N182" s="18">
        <v>1</v>
      </c>
      <c r="O182" s="18">
        <v>0.96388888888888902</v>
      </c>
      <c r="P182" s="18">
        <v>0.89112903225806495</v>
      </c>
      <c r="Q182" s="19"/>
    </row>
    <row r="183" spans="1:17" ht="15" customHeight="1" x14ac:dyDescent="0.3">
      <c r="A183" s="6" t="s">
        <v>107</v>
      </c>
      <c r="B183" s="6" t="s">
        <v>85</v>
      </c>
      <c r="C183" s="8">
        <v>5.8</v>
      </c>
      <c r="D183" s="22">
        <v>0.98401826484018295</v>
      </c>
      <c r="E183" s="18">
        <v>0.967741935483871</v>
      </c>
      <c r="F183" s="18">
        <v>1</v>
      </c>
      <c r="G183" s="18">
        <v>0.98655913978494603</v>
      </c>
      <c r="H183" s="18">
        <v>0.99583333333333302</v>
      </c>
      <c r="I183" s="18">
        <v>0.967741935483871</v>
      </c>
      <c r="J183" s="18">
        <v>0.98055555555555596</v>
      </c>
      <c r="K183" s="18">
        <v>0.93817204301075297</v>
      </c>
      <c r="L183" s="18">
        <v>0.99596774193548399</v>
      </c>
      <c r="M183" s="18">
        <v>0.99444444444444502</v>
      </c>
      <c r="N183" s="18">
        <v>0.98387096774193605</v>
      </c>
      <c r="O183" s="18">
        <v>1</v>
      </c>
      <c r="P183" s="18">
        <v>1</v>
      </c>
      <c r="Q183" s="19"/>
    </row>
    <row r="184" spans="1:17" ht="15" customHeight="1" x14ac:dyDescent="0.3">
      <c r="A184" s="6" t="s">
        <v>281</v>
      </c>
      <c r="B184" s="6" t="s">
        <v>123</v>
      </c>
      <c r="C184" s="8">
        <v>5.8</v>
      </c>
      <c r="D184" s="22">
        <v>0.98413242009132396</v>
      </c>
      <c r="E184" s="18">
        <v>0.99731182795698903</v>
      </c>
      <c r="F184" s="18">
        <v>0.98660714285714302</v>
      </c>
      <c r="G184" s="18">
        <v>1</v>
      </c>
      <c r="H184" s="18">
        <v>0.99166666666666703</v>
      </c>
      <c r="I184" s="18">
        <v>1</v>
      </c>
      <c r="J184" s="18">
        <v>0.98888888888888904</v>
      </c>
      <c r="K184" s="18">
        <v>1</v>
      </c>
      <c r="L184" s="18">
        <v>0.99059139784946204</v>
      </c>
      <c r="M184" s="18">
        <v>1</v>
      </c>
      <c r="N184" s="18">
        <v>1</v>
      </c>
      <c r="O184" s="18">
        <v>0.96388888888888902</v>
      </c>
      <c r="P184" s="18">
        <v>0.89112903225806495</v>
      </c>
      <c r="Q184" s="19"/>
    </row>
    <row r="185" spans="1:17" ht="15" customHeight="1" x14ac:dyDescent="0.3">
      <c r="A185" s="6" t="s">
        <v>141</v>
      </c>
      <c r="B185" s="6" t="s">
        <v>115</v>
      </c>
      <c r="C185" s="8">
        <v>5.7</v>
      </c>
      <c r="D185" s="22">
        <v>0.98436073059360696</v>
      </c>
      <c r="E185" s="18">
        <v>0.95833333333333304</v>
      </c>
      <c r="F185" s="18">
        <v>0.922619047619048</v>
      </c>
      <c r="G185" s="18">
        <v>0.99059139784946204</v>
      </c>
      <c r="H185" s="18">
        <v>0.98888888888888904</v>
      </c>
      <c r="I185" s="18">
        <v>0.989247311827957</v>
      </c>
      <c r="J185" s="18">
        <v>0.98055555555555596</v>
      </c>
      <c r="K185" s="18">
        <v>1</v>
      </c>
      <c r="L185" s="18">
        <v>1</v>
      </c>
      <c r="M185" s="18">
        <v>1</v>
      </c>
      <c r="N185" s="18">
        <v>1</v>
      </c>
      <c r="O185" s="18">
        <v>1</v>
      </c>
      <c r="P185" s="18">
        <v>0.97715053763440896</v>
      </c>
      <c r="Q185" s="19"/>
    </row>
    <row r="186" spans="1:17" ht="15" customHeight="1" x14ac:dyDescent="0.3">
      <c r="A186" s="6" t="s">
        <v>359</v>
      </c>
      <c r="B186" s="6" t="s">
        <v>85</v>
      </c>
      <c r="C186" s="8">
        <v>5.7</v>
      </c>
      <c r="D186" s="22">
        <v>0.98447488584474896</v>
      </c>
      <c r="E186" s="18">
        <v>0.99327956989247301</v>
      </c>
      <c r="F186" s="18">
        <v>1</v>
      </c>
      <c r="G186" s="18">
        <v>0.98655913978494603</v>
      </c>
      <c r="H186" s="18">
        <v>0.99583333333333302</v>
      </c>
      <c r="I186" s="18">
        <v>0.967741935483871</v>
      </c>
      <c r="J186" s="18">
        <v>0.98055555555555596</v>
      </c>
      <c r="K186" s="18">
        <v>0.99193548387096797</v>
      </c>
      <c r="L186" s="18">
        <v>0.99193548387096797</v>
      </c>
      <c r="M186" s="18">
        <v>0.95</v>
      </c>
      <c r="N186" s="18">
        <v>0.98118279569892497</v>
      </c>
      <c r="O186" s="18">
        <v>1</v>
      </c>
      <c r="P186" s="18">
        <v>0.97580645161290303</v>
      </c>
      <c r="Q186" s="19"/>
    </row>
    <row r="187" spans="1:17" ht="15" customHeight="1" x14ac:dyDescent="0.3">
      <c r="A187" s="6" t="s">
        <v>460</v>
      </c>
      <c r="B187" s="6" t="s">
        <v>461</v>
      </c>
      <c r="C187" s="8">
        <v>5.5</v>
      </c>
      <c r="D187" s="21">
        <v>0.738470319634703</v>
      </c>
      <c r="E187" s="19"/>
      <c r="F187" s="19"/>
      <c r="G187" s="19"/>
      <c r="H187" s="18">
        <v>0.92222222222222205</v>
      </c>
      <c r="I187" s="18">
        <v>0.98655913978494603</v>
      </c>
      <c r="J187" s="18">
        <v>1</v>
      </c>
      <c r="K187" s="18">
        <v>1</v>
      </c>
      <c r="L187" s="18">
        <v>0.99193548387096797</v>
      </c>
      <c r="M187" s="18">
        <v>0.96666666666666701</v>
      </c>
      <c r="N187" s="18">
        <v>0.99462365591397905</v>
      </c>
      <c r="O187" s="18">
        <v>0.96666666666666701</v>
      </c>
      <c r="P187" s="18">
        <v>0.99059139784946204</v>
      </c>
      <c r="Q187" s="19"/>
    </row>
    <row r="188" spans="1:17" ht="15" customHeight="1" x14ac:dyDescent="0.3">
      <c r="A188" s="6" t="s">
        <v>444</v>
      </c>
      <c r="B188" s="6" t="s">
        <v>386</v>
      </c>
      <c r="C188" s="8">
        <v>5.4</v>
      </c>
      <c r="D188" s="14">
        <v>0.40445205479452101</v>
      </c>
      <c r="E188" s="19"/>
      <c r="F188" s="19"/>
      <c r="G188" s="19"/>
      <c r="H188" s="19"/>
      <c r="I188" s="19"/>
      <c r="J188" s="19"/>
      <c r="K188" s="19"/>
      <c r="L188" s="18">
        <v>0.99327956989247301</v>
      </c>
      <c r="M188" s="18">
        <v>0.99583333333333302</v>
      </c>
      <c r="N188" s="18">
        <v>0.99865591397849496</v>
      </c>
      <c r="O188" s="18">
        <v>0.83333333333333304</v>
      </c>
      <c r="P188" s="18">
        <v>1</v>
      </c>
      <c r="Q188" s="17" t="s">
        <v>537</v>
      </c>
    </row>
    <row r="189" spans="1:17" ht="15" customHeight="1" x14ac:dyDescent="0.3">
      <c r="A189" s="6" t="s">
        <v>254</v>
      </c>
      <c r="B189" s="6" t="s">
        <v>255</v>
      </c>
      <c r="C189" s="8">
        <v>5.3</v>
      </c>
      <c r="D189" s="22">
        <v>0.98538812785388097</v>
      </c>
      <c r="E189" s="18">
        <v>0.99731182795698903</v>
      </c>
      <c r="F189" s="18">
        <v>0.82440476190476197</v>
      </c>
      <c r="G189" s="18">
        <v>1</v>
      </c>
      <c r="H189" s="18">
        <v>1</v>
      </c>
      <c r="I189" s="18">
        <v>1</v>
      </c>
      <c r="J189" s="18">
        <v>1</v>
      </c>
      <c r="K189" s="18">
        <v>1</v>
      </c>
      <c r="L189" s="18">
        <v>1</v>
      </c>
      <c r="M189" s="18">
        <v>0.98888888888888904</v>
      </c>
      <c r="N189" s="18">
        <v>1</v>
      </c>
      <c r="O189" s="18">
        <v>1</v>
      </c>
      <c r="P189" s="18">
        <v>1</v>
      </c>
      <c r="Q189" s="19"/>
    </row>
    <row r="190" spans="1:17" ht="15" customHeight="1" x14ac:dyDescent="0.3">
      <c r="A190" s="6" t="s">
        <v>74</v>
      </c>
      <c r="B190" s="6" t="s">
        <v>16</v>
      </c>
      <c r="C190" s="8">
        <v>5.3</v>
      </c>
      <c r="D190" s="22">
        <v>0.98550228310502297</v>
      </c>
      <c r="E190" s="18">
        <v>0.98118279569892497</v>
      </c>
      <c r="F190" s="18">
        <v>0.952380952380952</v>
      </c>
      <c r="G190" s="18">
        <v>1</v>
      </c>
      <c r="H190" s="18">
        <v>1</v>
      </c>
      <c r="I190" s="18">
        <v>1</v>
      </c>
      <c r="J190" s="18">
        <v>0.99583333333333302</v>
      </c>
      <c r="K190" s="18">
        <v>1</v>
      </c>
      <c r="L190" s="18">
        <v>0.89516129032258096</v>
      </c>
      <c r="M190" s="18">
        <v>1</v>
      </c>
      <c r="N190" s="18">
        <v>1</v>
      </c>
      <c r="O190" s="18">
        <v>1</v>
      </c>
      <c r="P190" s="18">
        <v>1</v>
      </c>
      <c r="Q190" s="19"/>
    </row>
    <row r="191" spans="1:17" ht="15" customHeight="1" x14ac:dyDescent="0.3">
      <c r="A191" s="6" t="s">
        <v>228</v>
      </c>
      <c r="B191" s="6" t="s">
        <v>123</v>
      </c>
      <c r="C191" s="8">
        <v>5.0999999999999996</v>
      </c>
      <c r="D191" s="22">
        <v>0.98595890410958897</v>
      </c>
      <c r="E191" s="18">
        <v>0.99731182795698903</v>
      </c>
      <c r="F191" s="18">
        <v>0.98660714285714302</v>
      </c>
      <c r="G191" s="18">
        <v>1</v>
      </c>
      <c r="H191" s="18">
        <v>0.99166666666666703</v>
      </c>
      <c r="I191" s="18">
        <v>1</v>
      </c>
      <c r="J191" s="18">
        <v>0.98888888888888904</v>
      </c>
      <c r="K191" s="18">
        <v>1</v>
      </c>
      <c r="L191" s="18">
        <v>0.99059139784946204</v>
      </c>
      <c r="M191" s="18">
        <v>1</v>
      </c>
      <c r="N191" s="18">
        <v>1</v>
      </c>
      <c r="O191" s="18">
        <v>0.96388888888888902</v>
      </c>
      <c r="P191" s="18">
        <v>0.91263440860215095</v>
      </c>
      <c r="Q191" s="19"/>
    </row>
    <row r="192" spans="1:17" ht="15" customHeight="1" x14ac:dyDescent="0.3">
      <c r="A192" s="6" t="s">
        <v>284</v>
      </c>
      <c r="B192" s="6" t="s">
        <v>135</v>
      </c>
      <c r="C192" s="8">
        <v>4.9000000000000004</v>
      </c>
      <c r="D192" s="22">
        <v>0.98652968036529698</v>
      </c>
      <c r="E192" s="18">
        <v>1</v>
      </c>
      <c r="F192" s="18">
        <v>0.98065476190476197</v>
      </c>
      <c r="G192" s="18">
        <v>0.99059139784946204</v>
      </c>
      <c r="H192" s="18">
        <v>0.96111111111111103</v>
      </c>
      <c r="I192" s="18">
        <v>0.97177419354838701</v>
      </c>
      <c r="J192" s="18">
        <v>0.97083333333333299</v>
      </c>
      <c r="K192" s="18">
        <v>0.97446236559139798</v>
      </c>
      <c r="L192" s="18">
        <v>0.98790322580645196</v>
      </c>
      <c r="M192" s="18">
        <v>1</v>
      </c>
      <c r="N192" s="18">
        <v>1</v>
      </c>
      <c r="O192" s="18">
        <v>1</v>
      </c>
      <c r="P192" s="18">
        <v>1</v>
      </c>
      <c r="Q192" s="19"/>
    </row>
    <row r="193" spans="1:17" ht="15" customHeight="1" x14ac:dyDescent="0.3">
      <c r="A193" s="6" t="s">
        <v>118</v>
      </c>
      <c r="B193" s="6" t="s">
        <v>100</v>
      </c>
      <c r="C193" s="8">
        <v>4.8</v>
      </c>
      <c r="D193" s="22">
        <v>0.98698630136986298</v>
      </c>
      <c r="E193" s="18">
        <v>1</v>
      </c>
      <c r="F193" s="18">
        <v>0.95982142857142905</v>
      </c>
      <c r="G193" s="18">
        <v>0.97983870967741904</v>
      </c>
      <c r="H193" s="18">
        <v>1</v>
      </c>
      <c r="I193" s="18">
        <v>1</v>
      </c>
      <c r="J193" s="18">
        <v>1</v>
      </c>
      <c r="K193" s="18">
        <v>0.95430107526881702</v>
      </c>
      <c r="L193" s="18">
        <v>0.956989247311828</v>
      </c>
      <c r="M193" s="18">
        <v>1</v>
      </c>
      <c r="N193" s="18">
        <v>1</v>
      </c>
      <c r="O193" s="18">
        <v>0.99166666666666703</v>
      </c>
      <c r="P193" s="18">
        <v>1</v>
      </c>
      <c r="Q193" s="19"/>
    </row>
    <row r="194" spans="1:17" ht="15" customHeight="1" x14ac:dyDescent="0.3">
      <c r="A194" s="6" t="s">
        <v>216</v>
      </c>
      <c r="B194" s="6" t="s">
        <v>217</v>
      </c>
      <c r="C194" s="8">
        <v>4.5</v>
      </c>
      <c r="D194" s="22">
        <v>0.98767123287671199</v>
      </c>
      <c r="E194" s="18">
        <v>1</v>
      </c>
      <c r="F194" s="18">
        <v>1</v>
      </c>
      <c r="G194" s="18">
        <v>0.99731182795698903</v>
      </c>
      <c r="H194" s="18">
        <v>0.99166666666666703</v>
      </c>
      <c r="I194" s="18">
        <v>0.99865591397849496</v>
      </c>
      <c r="J194" s="18">
        <v>0.86250000000000004</v>
      </c>
      <c r="K194" s="18">
        <v>1</v>
      </c>
      <c r="L194" s="18">
        <v>1</v>
      </c>
      <c r="M194" s="18">
        <v>1</v>
      </c>
      <c r="N194" s="18">
        <v>1</v>
      </c>
      <c r="O194" s="18">
        <v>1</v>
      </c>
      <c r="P194" s="18">
        <v>1</v>
      </c>
      <c r="Q194" s="19"/>
    </row>
    <row r="195" spans="1:17" ht="15" customHeight="1" x14ac:dyDescent="0.3">
      <c r="A195" s="6" t="s">
        <v>113</v>
      </c>
      <c r="B195" s="6" t="s">
        <v>65</v>
      </c>
      <c r="C195" s="8">
        <v>4.4000000000000004</v>
      </c>
      <c r="D195" s="22">
        <v>0.98789954337899499</v>
      </c>
      <c r="E195" s="18">
        <v>1</v>
      </c>
      <c r="F195" s="18">
        <v>1</v>
      </c>
      <c r="G195" s="18">
        <v>1</v>
      </c>
      <c r="H195" s="18">
        <v>1</v>
      </c>
      <c r="I195" s="18">
        <v>1</v>
      </c>
      <c r="J195" s="18">
        <v>1</v>
      </c>
      <c r="K195" s="18">
        <v>1</v>
      </c>
      <c r="L195" s="18">
        <v>0.99731182795698903</v>
      </c>
      <c r="M195" s="18">
        <v>1</v>
      </c>
      <c r="N195" s="18">
        <v>1</v>
      </c>
      <c r="O195" s="18">
        <v>0.85555555555555596</v>
      </c>
      <c r="P195" s="18">
        <v>1</v>
      </c>
      <c r="Q195" s="19"/>
    </row>
    <row r="196" spans="1:17" ht="15" customHeight="1" x14ac:dyDescent="0.3">
      <c r="A196" s="6" t="s">
        <v>209</v>
      </c>
      <c r="B196" s="6" t="s">
        <v>169</v>
      </c>
      <c r="C196" s="8">
        <v>4.4000000000000004</v>
      </c>
      <c r="D196" s="22">
        <v>0.98789954337899499</v>
      </c>
      <c r="E196" s="18">
        <v>0.99731182795698903</v>
      </c>
      <c r="F196" s="18">
        <v>0.86904761904761896</v>
      </c>
      <c r="G196" s="18">
        <v>0.98118279569892497</v>
      </c>
      <c r="H196" s="18">
        <v>1</v>
      </c>
      <c r="I196" s="18">
        <v>1</v>
      </c>
      <c r="J196" s="18">
        <v>1</v>
      </c>
      <c r="K196" s="18">
        <v>1</v>
      </c>
      <c r="L196" s="18">
        <v>1</v>
      </c>
      <c r="M196" s="18">
        <v>1</v>
      </c>
      <c r="N196" s="18">
        <v>0.99731182795698903</v>
      </c>
      <c r="O196" s="18">
        <v>1</v>
      </c>
      <c r="P196" s="18">
        <v>1</v>
      </c>
      <c r="Q196" s="19"/>
    </row>
    <row r="197" spans="1:17" ht="15" customHeight="1" x14ac:dyDescent="0.3">
      <c r="A197" s="6" t="s">
        <v>260</v>
      </c>
      <c r="B197" s="6" t="s">
        <v>95</v>
      </c>
      <c r="C197" s="8">
        <v>4.4000000000000004</v>
      </c>
      <c r="D197" s="22">
        <v>0.98801369863013699</v>
      </c>
      <c r="E197" s="18">
        <v>1</v>
      </c>
      <c r="F197" s="18">
        <v>1</v>
      </c>
      <c r="G197" s="18">
        <v>1</v>
      </c>
      <c r="H197" s="18">
        <v>1</v>
      </c>
      <c r="I197" s="18">
        <v>1</v>
      </c>
      <c r="J197" s="18">
        <v>1</v>
      </c>
      <c r="K197" s="18">
        <v>0.91532258064516103</v>
      </c>
      <c r="L197" s="18">
        <v>0.94354838709677402</v>
      </c>
      <c r="M197" s="18">
        <v>1</v>
      </c>
      <c r="N197" s="18">
        <v>1</v>
      </c>
      <c r="O197" s="18">
        <v>1</v>
      </c>
      <c r="P197" s="18">
        <v>1</v>
      </c>
      <c r="Q197" s="19"/>
    </row>
    <row r="198" spans="1:17" ht="15" customHeight="1" x14ac:dyDescent="0.3">
      <c r="A198" s="6" t="s">
        <v>37</v>
      </c>
      <c r="B198" s="6" t="s">
        <v>38</v>
      </c>
      <c r="C198" s="8">
        <v>4.3</v>
      </c>
      <c r="D198" s="22">
        <v>0.98812785388127899</v>
      </c>
      <c r="E198" s="18">
        <v>0.98655913978494603</v>
      </c>
      <c r="F198" s="18">
        <v>0.953869047619048</v>
      </c>
      <c r="G198" s="18">
        <v>0.97043010752688197</v>
      </c>
      <c r="H198" s="18">
        <v>0.98888888888888904</v>
      </c>
      <c r="I198" s="18">
        <v>0.97043010752688197</v>
      </c>
      <c r="J198" s="18">
        <v>0.99444444444444502</v>
      </c>
      <c r="K198" s="18">
        <v>1</v>
      </c>
      <c r="L198" s="18">
        <v>1</v>
      </c>
      <c r="M198" s="18">
        <v>1</v>
      </c>
      <c r="N198" s="18">
        <v>1</v>
      </c>
      <c r="O198" s="18">
        <v>0.99027777777777803</v>
      </c>
      <c r="P198" s="18">
        <v>1</v>
      </c>
      <c r="Q198" s="19"/>
    </row>
    <row r="199" spans="1:17" ht="15" customHeight="1" x14ac:dyDescent="0.3">
      <c r="A199" s="6" t="s">
        <v>317</v>
      </c>
      <c r="B199" s="6" t="s">
        <v>225</v>
      </c>
      <c r="C199" s="8">
        <v>4.0999999999999996</v>
      </c>
      <c r="D199" s="22">
        <v>0.988812785388128</v>
      </c>
      <c r="E199" s="18">
        <v>0.97043010752688197</v>
      </c>
      <c r="F199" s="18">
        <v>1</v>
      </c>
      <c r="G199" s="18">
        <v>0.97580645161290303</v>
      </c>
      <c r="H199" s="18">
        <v>1</v>
      </c>
      <c r="I199" s="18">
        <v>1</v>
      </c>
      <c r="J199" s="18">
        <v>0.99305555555555602</v>
      </c>
      <c r="K199" s="18">
        <v>0.989247311827957</v>
      </c>
      <c r="L199" s="18">
        <v>1</v>
      </c>
      <c r="M199" s="18">
        <v>1</v>
      </c>
      <c r="N199" s="18">
        <v>0.93951612903225801</v>
      </c>
      <c r="O199" s="18">
        <v>1</v>
      </c>
      <c r="P199" s="18">
        <v>1</v>
      </c>
      <c r="Q199" s="19"/>
    </row>
    <row r="200" spans="1:17" ht="15" customHeight="1" x14ac:dyDescent="0.3">
      <c r="A200" s="6" t="s">
        <v>306</v>
      </c>
      <c r="B200" s="6" t="s">
        <v>307</v>
      </c>
      <c r="C200" s="8">
        <v>4</v>
      </c>
      <c r="D200" s="22">
        <v>0.988926940639269</v>
      </c>
      <c r="E200" s="18">
        <v>1</v>
      </c>
      <c r="F200" s="18">
        <v>1</v>
      </c>
      <c r="G200" s="18">
        <v>1</v>
      </c>
      <c r="H200" s="18">
        <v>0.99861111111111101</v>
      </c>
      <c r="I200" s="18">
        <v>0.97580645161290303</v>
      </c>
      <c r="J200" s="18">
        <v>0.99722222222222201</v>
      </c>
      <c r="K200" s="18">
        <v>1</v>
      </c>
      <c r="L200" s="18">
        <v>0.99462365591397905</v>
      </c>
      <c r="M200" s="18">
        <v>1</v>
      </c>
      <c r="N200" s="18">
        <v>0.90322580645161299</v>
      </c>
      <c r="O200" s="18">
        <v>1</v>
      </c>
      <c r="P200" s="18">
        <v>1</v>
      </c>
      <c r="Q200" s="19"/>
    </row>
    <row r="201" spans="1:17" ht="15" customHeight="1" x14ac:dyDescent="0.3">
      <c r="A201" s="6" t="s">
        <v>161</v>
      </c>
      <c r="B201" s="6" t="s">
        <v>120</v>
      </c>
      <c r="C201" s="8">
        <v>4</v>
      </c>
      <c r="D201" s="22">
        <v>0.989041095890411</v>
      </c>
      <c r="E201" s="18">
        <v>0.99193548387096797</v>
      </c>
      <c r="F201" s="18">
        <v>1</v>
      </c>
      <c r="G201" s="18">
        <v>0.95161290322580705</v>
      </c>
      <c r="H201" s="18">
        <v>0.99166666666666703</v>
      </c>
      <c r="I201" s="18">
        <v>1</v>
      </c>
      <c r="J201" s="18">
        <v>0.99166666666666703</v>
      </c>
      <c r="K201" s="18">
        <v>1</v>
      </c>
      <c r="L201" s="18">
        <v>1</v>
      </c>
      <c r="M201" s="18">
        <v>1</v>
      </c>
      <c r="N201" s="18">
        <v>0.95967741935483897</v>
      </c>
      <c r="O201" s="18">
        <v>1</v>
      </c>
      <c r="P201" s="18">
        <v>0.98387096774193605</v>
      </c>
      <c r="Q201" s="19"/>
    </row>
    <row r="202" spans="1:17" ht="15" customHeight="1" x14ac:dyDescent="0.3">
      <c r="A202" s="6" t="s">
        <v>131</v>
      </c>
      <c r="B202" s="6" t="s">
        <v>132</v>
      </c>
      <c r="C202" s="8">
        <v>4</v>
      </c>
      <c r="D202" s="22">
        <v>0.989155251141553</v>
      </c>
      <c r="E202" s="18">
        <v>1</v>
      </c>
      <c r="F202" s="18">
        <v>0.99553571428571397</v>
      </c>
      <c r="G202" s="18">
        <v>1</v>
      </c>
      <c r="H202" s="18">
        <v>0.97083333333333299</v>
      </c>
      <c r="I202" s="18">
        <v>0.989247311827957</v>
      </c>
      <c r="J202" s="18">
        <v>0.99027777777777803</v>
      </c>
      <c r="K202" s="18">
        <v>0.97446236559139798</v>
      </c>
      <c r="L202" s="18">
        <v>0.96505376344086002</v>
      </c>
      <c r="M202" s="18">
        <v>0.98472222222222205</v>
      </c>
      <c r="N202" s="18">
        <v>1</v>
      </c>
      <c r="O202" s="18">
        <v>1</v>
      </c>
      <c r="P202" s="18">
        <v>1</v>
      </c>
      <c r="Q202" s="19"/>
    </row>
    <row r="203" spans="1:17" ht="15" customHeight="1" x14ac:dyDescent="0.3">
      <c r="A203" s="6" t="s">
        <v>328</v>
      </c>
      <c r="B203" s="6" t="s">
        <v>85</v>
      </c>
      <c r="C203" s="8">
        <v>4</v>
      </c>
      <c r="D203" s="22">
        <v>0.989155251141553</v>
      </c>
      <c r="E203" s="18">
        <v>1</v>
      </c>
      <c r="F203" s="18">
        <v>1</v>
      </c>
      <c r="G203" s="18">
        <v>0.98655913978494603</v>
      </c>
      <c r="H203" s="18">
        <v>0.99583333333333302</v>
      </c>
      <c r="I203" s="18">
        <v>0.967741935483871</v>
      </c>
      <c r="J203" s="18">
        <v>0.98055555555555596</v>
      </c>
      <c r="K203" s="18">
        <v>0.94892473118279597</v>
      </c>
      <c r="L203" s="18">
        <v>0.99596774193548399</v>
      </c>
      <c r="M203" s="18">
        <v>1</v>
      </c>
      <c r="N203" s="18">
        <v>0.99731182795698903</v>
      </c>
      <c r="O203" s="18">
        <v>1</v>
      </c>
      <c r="P203" s="18">
        <v>0.99865591397849496</v>
      </c>
      <c r="Q203" s="19"/>
    </row>
    <row r="204" spans="1:17" ht="15" customHeight="1" x14ac:dyDescent="0.3">
      <c r="A204" s="6" t="s">
        <v>41</v>
      </c>
      <c r="B204" s="6" t="s">
        <v>16</v>
      </c>
      <c r="C204" s="8">
        <v>3.9</v>
      </c>
      <c r="D204" s="22">
        <v>0.98938356164383601</v>
      </c>
      <c r="E204" s="18">
        <v>0.99193548387096797</v>
      </c>
      <c r="F204" s="18">
        <v>0.99702380952380998</v>
      </c>
      <c r="G204" s="18">
        <v>1</v>
      </c>
      <c r="H204" s="18">
        <v>1</v>
      </c>
      <c r="I204" s="18">
        <v>0.90053763440860202</v>
      </c>
      <c r="J204" s="18">
        <v>0.99583333333333302</v>
      </c>
      <c r="K204" s="18">
        <v>1</v>
      </c>
      <c r="L204" s="18">
        <v>0.99462365591397905</v>
      </c>
      <c r="M204" s="18">
        <v>0.99444444444444502</v>
      </c>
      <c r="N204" s="18">
        <v>1</v>
      </c>
      <c r="O204" s="18">
        <v>1</v>
      </c>
      <c r="P204" s="18">
        <v>1</v>
      </c>
      <c r="Q204" s="19"/>
    </row>
    <row r="205" spans="1:17" ht="15" customHeight="1" x14ac:dyDescent="0.3">
      <c r="A205" s="6" t="s">
        <v>162</v>
      </c>
      <c r="B205" s="6" t="s">
        <v>163</v>
      </c>
      <c r="C205" s="8">
        <v>3.7</v>
      </c>
      <c r="D205" s="22">
        <v>0.98995433789954301</v>
      </c>
      <c r="E205" s="18">
        <v>0.93145161290322598</v>
      </c>
      <c r="F205" s="18">
        <v>0.952380952380952</v>
      </c>
      <c r="G205" s="18">
        <v>0.99327956989247301</v>
      </c>
      <c r="H205" s="18">
        <v>1</v>
      </c>
      <c r="I205" s="18">
        <v>1</v>
      </c>
      <c r="J205" s="18">
        <v>1</v>
      </c>
      <c r="K205" s="18">
        <v>1</v>
      </c>
      <c r="L205" s="18">
        <v>1</v>
      </c>
      <c r="M205" s="18">
        <v>1</v>
      </c>
      <c r="N205" s="18">
        <v>1</v>
      </c>
      <c r="O205" s="18">
        <v>1</v>
      </c>
      <c r="P205" s="18">
        <v>1</v>
      </c>
      <c r="Q205" s="19"/>
    </row>
    <row r="206" spans="1:17" ht="15" customHeight="1" x14ac:dyDescent="0.3">
      <c r="A206" s="6" t="s">
        <v>351</v>
      </c>
      <c r="B206" s="6" t="s">
        <v>352</v>
      </c>
      <c r="C206" s="8">
        <v>3.3</v>
      </c>
      <c r="D206" s="22">
        <v>0.99086757990867602</v>
      </c>
      <c r="E206" s="18">
        <v>1</v>
      </c>
      <c r="F206" s="18">
        <v>1</v>
      </c>
      <c r="G206" s="18">
        <v>1</v>
      </c>
      <c r="H206" s="18">
        <v>1</v>
      </c>
      <c r="I206" s="18">
        <v>1</v>
      </c>
      <c r="J206" s="18">
        <v>0.93333333333333302</v>
      </c>
      <c r="K206" s="18">
        <v>1</v>
      </c>
      <c r="L206" s="18">
        <v>1</v>
      </c>
      <c r="M206" s="18">
        <v>0.97499999999999998</v>
      </c>
      <c r="N206" s="18">
        <v>1</v>
      </c>
      <c r="O206" s="18">
        <v>0.99722222222222201</v>
      </c>
      <c r="P206" s="18">
        <v>0.98387096774193605</v>
      </c>
      <c r="Q206" s="19"/>
    </row>
    <row r="207" spans="1:17" ht="15" customHeight="1" x14ac:dyDescent="0.3">
      <c r="A207" s="6" t="s">
        <v>28</v>
      </c>
      <c r="B207" s="6" t="s">
        <v>29</v>
      </c>
      <c r="C207" s="8">
        <v>3.2</v>
      </c>
      <c r="D207" s="22">
        <v>0.99109589041095902</v>
      </c>
      <c r="E207" s="18">
        <v>1</v>
      </c>
      <c r="F207" s="18">
        <v>0.95535714285714302</v>
      </c>
      <c r="G207" s="18">
        <v>1</v>
      </c>
      <c r="H207" s="18">
        <v>1</v>
      </c>
      <c r="I207" s="18">
        <v>1</v>
      </c>
      <c r="J207" s="18">
        <v>1</v>
      </c>
      <c r="K207" s="18">
        <v>0.99193548387096797</v>
      </c>
      <c r="L207" s="18">
        <v>1</v>
      </c>
      <c r="M207" s="18">
        <v>1</v>
      </c>
      <c r="N207" s="18">
        <v>1</v>
      </c>
      <c r="O207" s="18">
        <v>0.94166666666666698</v>
      </c>
      <c r="P207" s="18">
        <v>1</v>
      </c>
      <c r="Q207" s="19"/>
    </row>
    <row r="208" spans="1:17" ht="15" customHeight="1" x14ac:dyDescent="0.3">
      <c r="A208" s="6" t="s">
        <v>324</v>
      </c>
      <c r="B208" s="6" t="s">
        <v>325</v>
      </c>
      <c r="C208" s="8">
        <v>3.2</v>
      </c>
      <c r="D208" s="22">
        <v>0.99109589041095902</v>
      </c>
      <c r="E208" s="18">
        <v>1</v>
      </c>
      <c r="F208" s="18">
        <v>1</v>
      </c>
      <c r="G208" s="18">
        <v>0.99327956989247301</v>
      </c>
      <c r="H208" s="18">
        <v>0.99166666666666703</v>
      </c>
      <c r="I208" s="18">
        <v>0.978494623655914</v>
      </c>
      <c r="J208" s="18">
        <v>0.95138888888888895</v>
      </c>
      <c r="K208" s="18">
        <v>1</v>
      </c>
      <c r="L208" s="18">
        <v>0.98655913978494603</v>
      </c>
      <c r="M208" s="18">
        <v>0.99166666666666703</v>
      </c>
      <c r="N208" s="18">
        <v>1</v>
      </c>
      <c r="O208" s="18">
        <v>1</v>
      </c>
      <c r="P208" s="18">
        <v>1</v>
      </c>
      <c r="Q208" s="19"/>
    </row>
    <row r="209" spans="1:17" ht="15" customHeight="1" x14ac:dyDescent="0.3">
      <c r="A209" s="6" t="s">
        <v>40</v>
      </c>
      <c r="B209" s="6" t="s">
        <v>16</v>
      </c>
      <c r="C209" s="8">
        <v>3.1</v>
      </c>
      <c r="D209" s="22">
        <v>0.99143835616438403</v>
      </c>
      <c r="E209" s="18">
        <v>0.99865591397849496</v>
      </c>
      <c r="F209" s="18">
        <v>0.99702380952380998</v>
      </c>
      <c r="G209" s="18">
        <v>1</v>
      </c>
      <c r="H209" s="18">
        <v>1</v>
      </c>
      <c r="I209" s="18">
        <v>1</v>
      </c>
      <c r="J209" s="18">
        <v>0.99583333333333302</v>
      </c>
      <c r="K209" s="18">
        <v>0.918010752688172</v>
      </c>
      <c r="L209" s="18">
        <v>0.99462365591397905</v>
      </c>
      <c r="M209" s="18">
        <v>0.99444444444444502</v>
      </c>
      <c r="N209" s="18">
        <v>1</v>
      </c>
      <c r="O209" s="18">
        <v>1</v>
      </c>
      <c r="P209" s="18">
        <v>1</v>
      </c>
      <c r="Q209" s="19"/>
    </row>
    <row r="210" spans="1:17" ht="15" customHeight="1" x14ac:dyDescent="0.3">
      <c r="A210" s="6" t="s">
        <v>282</v>
      </c>
      <c r="B210" s="6" t="s">
        <v>266</v>
      </c>
      <c r="C210" s="8">
        <v>3</v>
      </c>
      <c r="D210" s="22">
        <v>0.99166666666666703</v>
      </c>
      <c r="E210" s="18">
        <v>0.94892473118279597</v>
      </c>
      <c r="F210" s="18">
        <v>0.98809523809523803</v>
      </c>
      <c r="G210" s="18">
        <v>1</v>
      </c>
      <c r="H210" s="18">
        <v>1</v>
      </c>
      <c r="I210" s="18">
        <v>1</v>
      </c>
      <c r="J210" s="18">
        <v>1</v>
      </c>
      <c r="K210" s="18">
        <v>1</v>
      </c>
      <c r="L210" s="18">
        <v>1</v>
      </c>
      <c r="M210" s="18">
        <v>1</v>
      </c>
      <c r="N210" s="18">
        <v>1</v>
      </c>
      <c r="O210" s="18">
        <v>0.96250000000000002</v>
      </c>
      <c r="P210" s="18">
        <v>1</v>
      </c>
      <c r="Q210" s="19"/>
    </row>
    <row r="211" spans="1:17" ht="15" customHeight="1" x14ac:dyDescent="0.3">
      <c r="A211" s="6" t="s">
        <v>134</v>
      </c>
      <c r="B211" s="6" t="s">
        <v>135</v>
      </c>
      <c r="C211" s="8">
        <v>3</v>
      </c>
      <c r="D211" s="22">
        <v>0.99189497716895003</v>
      </c>
      <c r="E211" s="18">
        <v>1</v>
      </c>
      <c r="F211" s="18">
        <v>0.98660714285714302</v>
      </c>
      <c r="G211" s="18">
        <v>0.99193548387096797</v>
      </c>
      <c r="H211" s="18">
        <v>0.97777777777777797</v>
      </c>
      <c r="I211" s="18">
        <v>0.978494623655914</v>
      </c>
      <c r="J211" s="18">
        <v>0.98750000000000004</v>
      </c>
      <c r="K211" s="18">
        <v>0.99731182795698903</v>
      </c>
      <c r="L211" s="18">
        <v>0.99865591397849496</v>
      </c>
      <c r="M211" s="18">
        <v>1</v>
      </c>
      <c r="N211" s="18">
        <v>1</v>
      </c>
      <c r="O211" s="18">
        <v>0.98333333333333295</v>
      </c>
      <c r="P211" s="18">
        <v>1</v>
      </c>
      <c r="Q211" s="19"/>
    </row>
    <row r="212" spans="1:17" ht="15" customHeight="1" x14ac:dyDescent="0.3">
      <c r="A212" s="6" t="s">
        <v>187</v>
      </c>
      <c r="B212" s="6" t="s">
        <v>169</v>
      </c>
      <c r="C212" s="8">
        <v>2.9</v>
      </c>
      <c r="D212" s="22">
        <v>0.99200913242009103</v>
      </c>
      <c r="E212" s="18">
        <v>0.99731182795698903</v>
      </c>
      <c r="F212" s="18">
        <v>0.922619047619048</v>
      </c>
      <c r="G212" s="18">
        <v>0.98118279569892497</v>
      </c>
      <c r="H212" s="18">
        <v>1</v>
      </c>
      <c r="I212" s="18">
        <v>1</v>
      </c>
      <c r="J212" s="18">
        <v>1</v>
      </c>
      <c r="K212" s="18">
        <v>1</v>
      </c>
      <c r="L212" s="18">
        <v>1</v>
      </c>
      <c r="M212" s="18">
        <v>1</v>
      </c>
      <c r="N212" s="18">
        <v>0.99731182795698903</v>
      </c>
      <c r="O212" s="18">
        <v>1</v>
      </c>
      <c r="P212" s="18">
        <v>1</v>
      </c>
      <c r="Q212" s="19"/>
    </row>
    <row r="213" spans="1:17" ht="15" customHeight="1" x14ac:dyDescent="0.3">
      <c r="A213" s="6" t="s">
        <v>277</v>
      </c>
      <c r="B213" s="6" t="s">
        <v>278</v>
      </c>
      <c r="C213" s="8">
        <v>2.7</v>
      </c>
      <c r="D213" s="22">
        <v>0.99269406392694104</v>
      </c>
      <c r="E213" s="18">
        <v>0.989247311827957</v>
      </c>
      <c r="F213" s="18">
        <v>1</v>
      </c>
      <c r="G213" s="18">
        <v>1</v>
      </c>
      <c r="H213" s="18">
        <v>0.99861111111111101</v>
      </c>
      <c r="I213" s="18">
        <v>0.98655913978494603</v>
      </c>
      <c r="J213" s="18">
        <v>0.95833333333333304</v>
      </c>
      <c r="K213" s="18">
        <v>1</v>
      </c>
      <c r="L213" s="18">
        <v>1</v>
      </c>
      <c r="M213" s="18">
        <v>1</v>
      </c>
      <c r="N213" s="18">
        <v>1</v>
      </c>
      <c r="O213" s="18">
        <v>1</v>
      </c>
      <c r="P213" s="18">
        <v>0.97983870967741904</v>
      </c>
      <c r="Q213" s="19"/>
    </row>
    <row r="214" spans="1:17" ht="15" customHeight="1" x14ac:dyDescent="0.3">
      <c r="A214" s="6" t="s">
        <v>252</v>
      </c>
      <c r="B214" s="6" t="s">
        <v>173</v>
      </c>
      <c r="C214" s="8">
        <v>2.6</v>
      </c>
      <c r="D214" s="22">
        <v>0.99280821917808204</v>
      </c>
      <c r="E214" s="18">
        <v>0.99731182795698903</v>
      </c>
      <c r="F214" s="18">
        <v>1</v>
      </c>
      <c r="G214" s="18">
        <v>1</v>
      </c>
      <c r="H214" s="18">
        <v>1</v>
      </c>
      <c r="I214" s="18">
        <v>0.95430107526881702</v>
      </c>
      <c r="J214" s="18">
        <v>0.99166666666666703</v>
      </c>
      <c r="K214" s="18">
        <v>0.97580645161290303</v>
      </c>
      <c r="L214" s="18">
        <v>1</v>
      </c>
      <c r="M214" s="18">
        <v>0.99583333333333302</v>
      </c>
      <c r="N214" s="18">
        <v>1</v>
      </c>
      <c r="O214" s="18">
        <v>1</v>
      </c>
      <c r="P214" s="18">
        <v>1</v>
      </c>
      <c r="Q214" s="19"/>
    </row>
    <row r="215" spans="1:17" ht="15" customHeight="1" x14ac:dyDescent="0.3">
      <c r="A215" s="6" t="s">
        <v>253</v>
      </c>
      <c r="B215" s="6" t="s">
        <v>173</v>
      </c>
      <c r="C215" s="8">
        <v>2.6</v>
      </c>
      <c r="D215" s="22">
        <v>0.99280821917808204</v>
      </c>
      <c r="E215" s="18">
        <v>0.99731182795698903</v>
      </c>
      <c r="F215" s="18">
        <v>1</v>
      </c>
      <c r="G215" s="18">
        <v>1</v>
      </c>
      <c r="H215" s="18">
        <v>1</v>
      </c>
      <c r="I215" s="18">
        <v>0.95430107526881702</v>
      </c>
      <c r="J215" s="18">
        <v>0.99166666666666703</v>
      </c>
      <c r="K215" s="18">
        <v>0.97580645161290303</v>
      </c>
      <c r="L215" s="18">
        <v>1</v>
      </c>
      <c r="M215" s="18">
        <v>0.99583333333333302</v>
      </c>
      <c r="N215" s="18">
        <v>1</v>
      </c>
      <c r="O215" s="18">
        <v>1</v>
      </c>
      <c r="P215" s="18">
        <v>1</v>
      </c>
      <c r="Q215" s="19"/>
    </row>
    <row r="216" spans="1:17" ht="15" customHeight="1" x14ac:dyDescent="0.3">
      <c r="A216" s="6" t="s">
        <v>106</v>
      </c>
      <c r="B216" s="6" t="s">
        <v>38</v>
      </c>
      <c r="C216" s="8">
        <v>2.4</v>
      </c>
      <c r="D216" s="22">
        <v>0.99337899543379005</v>
      </c>
      <c r="E216" s="18">
        <v>1</v>
      </c>
      <c r="F216" s="18">
        <v>1</v>
      </c>
      <c r="G216" s="18">
        <v>0.99865591397849496</v>
      </c>
      <c r="H216" s="18">
        <v>1</v>
      </c>
      <c r="I216" s="18">
        <v>1</v>
      </c>
      <c r="J216" s="18">
        <v>0.99583333333333302</v>
      </c>
      <c r="K216" s="18">
        <v>1</v>
      </c>
      <c r="L216" s="18">
        <v>1</v>
      </c>
      <c r="M216" s="18">
        <v>0.94305555555555598</v>
      </c>
      <c r="N216" s="18">
        <v>1</v>
      </c>
      <c r="O216" s="18">
        <v>0.98472222222222205</v>
      </c>
      <c r="P216" s="18">
        <v>0.99731182795698903</v>
      </c>
      <c r="Q216" s="19"/>
    </row>
    <row r="217" spans="1:17" ht="15" customHeight="1" x14ac:dyDescent="0.3">
      <c r="A217" s="6" t="s">
        <v>79</v>
      </c>
      <c r="B217" s="6" t="s">
        <v>80</v>
      </c>
      <c r="C217" s="8">
        <v>2.4</v>
      </c>
      <c r="D217" s="22">
        <v>0.99349315068493205</v>
      </c>
      <c r="E217" s="18">
        <v>0.99731182795698903</v>
      </c>
      <c r="F217" s="18">
        <v>1</v>
      </c>
      <c r="G217" s="18">
        <v>0.99865591397849496</v>
      </c>
      <c r="H217" s="18">
        <v>0.98750000000000004</v>
      </c>
      <c r="I217" s="18">
        <v>0.99193548387096797</v>
      </c>
      <c r="J217" s="18">
        <v>0.96388888888888902</v>
      </c>
      <c r="K217" s="18">
        <v>1</v>
      </c>
      <c r="L217" s="18">
        <v>1</v>
      </c>
      <c r="M217" s="18">
        <v>0.98194444444444395</v>
      </c>
      <c r="N217" s="18">
        <v>1</v>
      </c>
      <c r="O217" s="18">
        <v>1</v>
      </c>
      <c r="P217" s="18">
        <v>1</v>
      </c>
      <c r="Q217" s="19"/>
    </row>
    <row r="218" spans="1:17" ht="15" customHeight="1" x14ac:dyDescent="0.3">
      <c r="A218" s="6" t="s">
        <v>148</v>
      </c>
      <c r="B218" s="6" t="s">
        <v>85</v>
      </c>
      <c r="C218" s="8">
        <v>2.4</v>
      </c>
      <c r="D218" s="22">
        <v>0.99349315068493205</v>
      </c>
      <c r="E218" s="18">
        <v>1</v>
      </c>
      <c r="F218" s="18">
        <v>1</v>
      </c>
      <c r="G218" s="18">
        <v>0.98655913978494603</v>
      </c>
      <c r="H218" s="18">
        <v>0.99583333333333302</v>
      </c>
      <c r="I218" s="18">
        <v>1</v>
      </c>
      <c r="J218" s="18">
        <v>0.98055555555555596</v>
      </c>
      <c r="K218" s="18">
        <v>0.967741935483871</v>
      </c>
      <c r="L218" s="18">
        <v>0.99596774193548399</v>
      </c>
      <c r="M218" s="18">
        <v>1</v>
      </c>
      <c r="N218" s="18">
        <v>0.99731182795698903</v>
      </c>
      <c r="O218" s="18">
        <v>1</v>
      </c>
      <c r="P218" s="18">
        <v>0.99865591397849496</v>
      </c>
      <c r="Q218" s="19"/>
    </row>
    <row r="219" spans="1:17" ht="15" customHeight="1" x14ac:dyDescent="0.3">
      <c r="A219" s="6" t="s">
        <v>15</v>
      </c>
      <c r="B219" s="6" t="s">
        <v>16</v>
      </c>
      <c r="C219" s="8">
        <v>2.2999999999999998</v>
      </c>
      <c r="D219" s="22">
        <v>0.99360730593607305</v>
      </c>
      <c r="E219" s="18">
        <v>0.98118279569892497</v>
      </c>
      <c r="F219" s="18">
        <v>0.96428571428571397</v>
      </c>
      <c r="G219" s="18">
        <v>0.99462365591397905</v>
      </c>
      <c r="H219" s="18">
        <v>0.99305555555555602</v>
      </c>
      <c r="I219" s="18">
        <v>1</v>
      </c>
      <c r="J219" s="18">
        <v>0.99583333333333302</v>
      </c>
      <c r="K219" s="18">
        <v>0.99731182795698903</v>
      </c>
      <c r="L219" s="18">
        <v>0.99462365591397905</v>
      </c>
      <c r="M219" s="18">
        <v>1</v>
      </c>
      <c r="N219" s="18">
        <v>1</v>
      </c>
      <c r="O219" s="18">
        <v>1</v>
      </c>
      <c r="P219" s="18">
        <v>1</v>
      </c>
      <c r="Q219" s="19"/>
    </row>
    <row r="220" spans="1:17" ht="15" customHeight="1" x14ac:dyDescent="0.3">
      <c r="A220" s="6" t="s">
        <v>31</v>
      </c>
      <c r="B220" s="6" t="s">
        <v>20</v>
      </c>
      <c r="C220" s="8">
        <v>2.2000000000000002</v>
      </c>
      <c r="D220" s="22">
        <v>0.99383561643835605</v>
      </c>
      <c r="E220" s="18">
        <v>0.98387096774193605</v>
      </c>
      <c r="F220" s="18">
        <v>1</v>
      </c>
      <c r="G220" s="18">
        <v>0.99327956989247301</v>
      </c>
      <c r="H220" s="18">
        <v>1</v>
      </c>
      <c r="I220" s="18">
        <v>0.97043010752688197</v>
      </c>
      <c r="J220" s="18">
        <v>0.99722222222222201</v>
      </c>
      <c r="K220" s="18">
        <v>0.99327956989247301</v>
      </c>
      <c r="L220" s="18">
        <v>0.989247311827957</v>
      </c>
      <c r="M220" s="18">
        <v>1</v>
      </c>
      <c r="N220" s="18">
        <v>1</v>
      </c>
      <c r="O220" s="18">
        <v>1</v>
      </c>
      <c r="P220" s="18">
        <v>1</v>
      </c>
      <c r="Q220" s="19"/>
    </row>
    <row r="221" spans="1:17" ht="15" customHeight="1" x14ac:dyDescent="0.3">
      <c r="A221" s="6" t="s">
        <v>208</v>
      </c>
      <c r="B221" s="6" t="s">
        <v>169</v>
      </c>
      <c r="C221" s="8">
        <v>2.2000000000000002</v>
      </c>
      <c r="D221" s="22">
        <v>0.99383561643835605</v>
      </c>
      <c r="E221" s="18">
        <v>0.99731182795698903</v>
      </c>
      <c r="F221" s="18">
        <v>0.94642857142857095</v>
      </c>
      <c r="G221" s="18">
        <v>0.98118279569892497</v>
      </c>
      <c r="H221" s="18">
        <v>1</v>
      </c>
      <c r="I221" s="18">
        <v>1</v>
      </c>
      <c r="J221" s="18">
        <v>1</v>
      </c>
      <c r="K221" s="18">
        <v>1</v>
      </c>
      <c r="L221" s="18">
        <v>1</v>
      </c>
      <c r="M221" s="18">
        <v>1</v>
      </c>
      <c r="N221" s="18">
        <v>0.99731182795698903</v>
      </c>
      <c r="O221" s="18">
        <v>1</v>
      </c>
      <c r="P221" s="18">
        <v>1</v>
      </c>
      <c r="Q221" s="19"/>
    </row>
    <row r="222" spans="1:17" ht="15" customHeight="1" x14ac:dyDescent="0.3">
      <c r="A222" s="6" t="s">
        <v>142</v>
      </c>
      <c r="B222" s="6" t="s">
        <v>68</v>
      </c>
      <c r="C222" s="8">
        <v>2.1</v>
      </c>
      <c r="D222" s="22">
        <v>0.99417808219178105</v>
      </c>
      <c r="E222" s="18">
        <v>1</v>
      </c>
      <c r="F222" s="18">
        <v>1</v>
      </c>
      <c r="G222" s="18">
        <v>1</v>
      </c>
      <c r="H222" s="18">
        <v>1</v>
      </c>
      <c r="I222" s="18">
        <v>1</v>
      </c>
      <c r="J222" s="18">
        <v>0.95694444444444504</v>
      </c>
      <c r="K222" s="18">
        <v>1</v>
      </c>
      <c r="L222" s="18">
        <v>1</v>
      </c>
      <c r="M222" s="18">
        <v>1</v>
      </c>
      <c r="N222" s="18">
        <v>1</v>
      </c>
      <c r="O222" s="18">
        <v>0.97222222222222199</v>
      </c>
      <c r="P222" s="18">
        <v>1</v>
      </c>
      <c r="Q222" s="19"/>
    </row>
    <row r="223" spans="1:17" ht="15" customHeight="1" x14ac:dyDescent="0.3">
      <c r="A223" s="6" t="s">
        <v>309</v>
      </c>
      <c r="B223" s="6" t="s">
        <v>185</v>
      </c>
      <c r="C223" s="8">
        <v>2.1</v>
      </c>
      <c r="D223" s="22">
        <v>0.99417808219178105</v>
      </c>
      <c r="E223" s="18">
        <v>1</v>
      </c>
      <c r="F223" s="18">
        <v>1</v>
      </c>
      <c r="G223" s="18">
        <v>0.97446236559139798</v>
      </c>
      <c r="H223" s="18">
        <v>1</v>
      </c>
      <c r="I223" s="18">
        <v>0.99596774193548399</v>
      </c>
      <c r="J223" s="18">
        <v>0.96666666666666701</v>
      </c>
      <c r="K223" s="18">
        <v>1</v>
      </c>
      <c r="L223" s="18">
        <v>1</v>
      </c>
      <c r="M223" s="18">
        <v>1</v>
      </c>
      <c r="N223" s="18">
        <v>0.99327956989247301</v>
      </c>
      <c r="O223" s="18">
        <v>1</v>
      </c>
      <c r="P223" s="18">
        <v>1</v>
      </c>
      <c r="Q223" s="19"/>
    </row>
    <row r="224" spans="1:17" ht="15" customHeight="1" x14ac:dyDescent="0.3">
      <c r="A224" s="6" t="s">
        <v>443</v>
      </c>
      <c r="B224" s="6" t="s">
        <v>392</v>
      </c>
      <c r="C224" s="8">
        <v>2.1</v>
      </c>
      <c r="D224" s="14">
        <v>0.41347031963470299</v>
      </c>
      <c r="E224" s="19"/>
      <c r="F224" s="19"/>
      <c r="G224" s="19"/>
      <c r="H224" s="19"/>
      <c r="I224" s="19"/>
      <c r="J224" s="19"/>
      <c r="K224" s="19"/>
      <c r="L224" s="18">
        <v>0.93548387096774199</v>
      </c>
      <c r="M224" s="18">
        <v>0.99722222222222201</v>
      </c>
      <c r="N224" s="18">
        <v>1</v>
      </c>
      <c r="O224" s="18">
        <v>1</v>
      </c>
      <c r="P224" s="18">
        <v>1</v>
      </c>
      <c r="Q224" s="17" t="s">
        <v>537</v>
      </c>
    </row>
    <row r="225" spans="1:17" ht="15" customHeight="1" x14ac:dyDescent="0.3">
      <c r="A225" s="6" t="s">
        <v>268</v>
      </c>
      <c r="B225" s="6" t="s">
        <v>269</v>
      </c>
      <c r="C225" s="8">
        <v>2.1</v>
      </c>
      <c r="D225" s="22">
        <v>0.99429223744292194</v>
      </c>
      <c r="E225" s="18">
        <v>1</v>
      </c>
      <c r="F225" s="18">
        <v>0.99851190476190499</v>
      </c>
      <c r="G225" s="18">
        <v>1</v>
      </c>
      <c r="H225" s="18">
        <v>0.95833333333333304</v>
      </c>
      <c r="I225" s="18">
        <v>0.98790322580645196</v>
      </c>
      <c r="J225" s="18">
        <v>0.99861111111111101</v>
      </c>
      <c r="K225" s="18">
        <v>0.99596774193548399</v>
      </c>
      <c r="L225" s="18">
        <v>0.99193548387096797</v>
      </c>
      <c r="M225" s="18">
        <v>1</v>
      </c>
      <c r="N225" s="18">
        <v>1</v>
      </c>
      <c r="O225" s="18">
        <v>1</v>
      </c>
      <c r="P225" s="18">
        <v>1</v>
      </c>
      <c r="Q225" s="19"/>
    </row>
    <row r="226" spans="1:17" ht="15" customHeight="1" x14ac:dyDescent="0.3">
      <c r="A226" s="6" t="s">
        <v>244</v>
      </c>
      <c r="B226" s="6" t="s">
        <v>206</v>
      </c>
      <c r="C226" s="8">
        <v>1.9</v>
      </c>
      <c r="D226" s="22">
        <v>0.99474885844748895</v>
      </c>
      <c r="E226" s="18">
        <v>1</v>
      </c>
      <c r="F226" s="18">
        <v>1</v>
      </c>
      <c r="G226" s="18">
        <v>1</v>
      </c>
      <c r="H226" s="18">
        <v>1</v>
      </c>
      <c r="I226" s="18">
        <v>1</v>
      </c>
      <c r="J226" s="18">
        <v>1</v>
      </c>
      <c r="K226" s="18">
        <v>0.97715053763440896</v>
      </c>
      <c r="L226" s="18">
        <v>0.96370967741935498</v>
      </c>
      <c r="M226" s="18">
        <v>1</v>
      </c>
      <c r="N226" s="18">
        <v>0.99731182795698903</v>
      </c>
      <c r="O226" s="18">
        <v>1</v>
      </c>
      <c r="P226" s="18">
        <v>1</v>
      </c>
      <c r="Q226" s="19"/>
    </row>
    <row r="227" spans="1:17" ht="15" customHeight="1" x14ac:dyDescent="0.3">
      <c r="A227" s="6" t="s">
        <v>67</v>
      </c>
      <c r="B227" s="6" t="s">
        <v>68</v>
      </c>
      <c r="C227" s="8">
        <v>1.9</v>
      </c>
      <c r="D227" s="22">
        <v>0.99486301369862995</v>
      </c>
      <c r="E227" s="18">
        <v>1</v>
      </c>
      <c r="F227" s="18">
        <v>1</v>
      </c>
      <c r="G227" s="18">
        <v>0.99865591397849496</v>
      </c>
      <c r="H227" s="18">
        <v>1</v>
      </c>
      <c r="I227" s="18">
        <v>1</v>
      </c>
      <c r="J227" s="18">
        <v>1</v>
      </c>
      <c r="K227" s="18">
        <v>0.97446236559139798</v>
      </c>
      <c r="L227" s="18">
        <v>0.97983870967741904</v>
      </c>
      <c r="M227" s="18">
        <v>1</v>
      </c>
      <c r="N227" s="18">
        <v>1</v>
      </c>
      <c r="O227" s="18">
        <v>0.98611111111111105</v>
      </c>
      <c r="P227" s="18">
        <v>1</v>
      </c>
      <c r="Q227" s="19"/>
    </row>
    <row r="228" spans="1:17" ht="15" customHeight="1" x14ac:dyDescent="0.3">
      <c r="A228" s="6" t="s">
        <v>245</v>
      </c>
      <c r="B228" s="6" t="s">
        <v>246</v>
      </c>
      <c r="C228" s="8">
        <v>1.9</v>
      </c>
      <c r="D228" s="22">
        <v>0.99486301369862995</v>
      </c>
      <c r="E228" s="18">
        <v>0.96639784946236595</v>
      </c>
      <c r="F228" s="18">
        <v>0.97470238095238104</v>
      </c>
      <c r="G228" s="18">
        <v>0.99596774193548399</v>
      </c>
      <c r="H228" s="18">
        <v>1</v>
      </c>
      <c r="I228" s="18">
        <v>1</v>
      </c>
      <c r="J228" s="18">
        <v>1</v>
      </c>
      <c r="K228" s="18">
        <v>1</v>
      </c>
      <c r="L228" s="18">
        <v>1</v>
      </c>
      <c r="M228" s="18">
        <v>1</v>
      </c>
      <c r="N228" s="18">
        <v>1</v>
      </c>
      <c r="O228" s="18">
        <v>1</v>
      </c>
      <c r="P228" s="18">
        <v>1</v>
      </c>
      <c r="Q228" s="19"/>
    </row>
    <row r="229" spans="1:17" ht="15" customHeight="1" x14ac:dyDescent="0.3">
      <c r="A229" s="6" t="s">
        <v>304</v>
      </c>
      <c r="B229" s="6" t="s">
        <v>235</v>
      </c>
      <c r="C229" s="8">
        <v>1.7</v>
      </c>
      <c r="D229" s="22">
        <v>0.99531963470319595</v>
      </c>
      <c r="E229" s="18">
        <v>1</v>
      </c>
      <c r="F229" s="18">
        <v>1</v>
      </c>
      <c r="G229" s="18">
        <v>0.99462365591397905</v>
      </c>
      <c r="H229" s="18">
        <v>0.98750000000000004</v>
      </c>
      <c r="I229" s="18">
        <v>0.98387096774193605</v>
      </c>
      <c r="J229" s="18">
        <v>0.99166666666666703</v>
      </c>
      <c r="K229" s="18">
        <v>1</v>
      </c>
      <c r="L229" s="18">
        <v>0.99865591397849496</v>
      </c>
      <c r="M229" s="18">
        <v>0.98750000000000004</v>
      </c>
      <c r="N229" s="18">
        <v>1</v>
      </c>
      <c r="O229" s="18">
        <v>1</v>
      </c>
      <c r="P229" s="18">
        <v>1</v>
      </c>
      <c r="Q229" s="19"/>
    </row>
    <row r="230" spans="1:17" ht="15" customHeight="1" x14ac:dyDescent="0.3">
      <c r="A230" s="6" t="s">
        <v>73</v>
      </c>
      <c r="B230" s="6" t="s">
        <v>38</v>
      </c>
      <c r="C230" s="8">
        <v>1.6</v>
      </c>
      <c r="D230" s="22">
        <v>0.99554794520547896</v>
      </c>
      <c r="E230" s="18">
        <v>0.98521505376344098</v>
      </c>
      <c r="F230" s="18">
        <v>0.99107142857142905</v>
      </c>
      <c r="G230" s="18">
        <v>0.98118279569892497</v>
      </c>
      <c r="H230" s="18">
        <v>1</v>
      </c>
      <c r="I230" s="18">
        <v>1</v>
      </c>
      <c r="J230" s="18">
        <v>1</v>
      </c>
      <c r="K230" s="18">
        <v>1</v>
      </c>
      <c r="L230" s="18">
        <v>1</v>
      </c>
      <c r="M230" s="18">
        <v>1</v>
      </c>
      <c r="N230" s="18">
        <v>1</v>
      </c>
      <c r="O230" s="18">
        <v>1</v>
      </c>
      <c r="P230" s="18">
        <v>0.989247311827957</v>
      </c>
      <c r="Q230" s="19"/>
    </row>
    <row r="231" spans="1:17" ht="15" customHeight="1" x14ac:dyDescent="0.3">
      <c r="A231" s="6" t="s">
        <v>230</v>
      </c>
      <c r="B231" s="6" t="s">
        <v>231</v>
      </c>
      <c r="C231" s="8">
        <v>1.6</v>
      </c>
      <c r="D231" s="22">
        <v>0.99554794520547896</v>
      </c>
      <c r="E231" s="18">
        <v>0.99596774193548399</v>
      </c>
      <c r="F231" s="18">
        <v>0.99702380952380998</v>
      </c>
      <c r="G231" s="18">
        <v>1</v>
      </c>
      <c r="H231" s="18">
        <v>1</v>
      </c>
      <c r="I231" s="18">
        <v>1</v>
      </c>
      <c r="J231" s="18">
        <v>1</v>
      </c>
      <c r="K231" s="18">
        <v>0.99193548387096797</v>
      </c>
      <c r="L231" s="18">
        <v>1</v>
      </c>
      <c r="M231" s="18">
        <v>1</v>
      </c>
      <c r="N231" s="18">
        <v>0.97311827956989305</v>
      </c>
      <c r="O231" s="18">
        <v>1</v>
      </c>
      <c r="P231" s="18">
        <v>0.989247311827957</v>
      </c>
      <c r="Q231" s="19"/>
    </row>
    <row r="232" spans="1:17" ht="15" customHeight="1" x14ac:dyDescent="0.3">
      <c r="A232" s="6" t="s">
        <v>430</v>
      </c>
      <c r="B232" s="6" t="s">
        <v>397</v>
      </c>
      <c r="C232" s="8">
        <v>1.6</v>
      </c>
      <c r="D232" s="21">
        <v>0.66689497716894997</v>
      </c>
      <c r="E232" s="19"/>
      <c r="F232" s="19"/>
      <c r="G232" s="19"/>
      <c r="H232" s="19"/>
      <c r="I232" s="18">
        <v>0.95430107526881702</v>
      </c>
      <c r="J232" s="18">
        <v>1</v>
      </c>
      <c r="K232" s="18">
        <v>1</v>
      </c>
      <c r="L232" s="18">
        <v>1</v>
      </c>
      <c r="M232" s="18">
        <v>1</v>
      </c>
      <c r="N232" s="18">
        <v>1</v>
      </c>
      <c r="O232" s="18">
        <v>1</v>
      </c>
      <c r="P232" s="18">
        <v>0.99462365591397905</v>
      </c>
      <c r="Q232" s="17" t="s">
        <v>537</v>
      </c>
    </row>
    <row r="233" spans="1:17" ht="15" customHeight="1" x14ac:dyDescent="0.3">
      <c r="A233" s="6" t="s">
        <v>337</v>
      </c>
      <c r="B233" s="6" t="s">
        <v>325</v>
      </c>
      <c r="C233" s="8">
        <v>1.6</v>
      </c>
      <c r="D233" s="22">
        <v>0.99566210045662096</v>
      </c>
      <c r="E233" s="18">
        <v>1</v>
      </c>
      <c r="F233" s="18">
        <v>0.96428571428571397</v>
      </c>
      <c r="G233" s="18">
        <v>1</v>
      </c>
      <c r="H233" s="18">
        <v>1</v>
      </c>
      <c r="I233" s="18">
        <v>1</v>
      </c>
      <c r="J233" s="18">
        <v>0.98055555555555596</v>
      </c>
      <c r="K233" s="18">
        <v>1</v>
      </c>
      <c r="L233" s="18">
        <v>1</v>
      </c>
      <c r="M233" s="18">
        <v>1</v>
      </c>
      <c r="N233" s="18">
        <v>1</v>
      </c>
      <c r="O233" s="18">
        <v>1</v>
      </c>
      <c r="P233" s="18">
        <v>1</v>
      </c>
      <c r="Q233" s="19"/>
    </row>
    <row r="234" spans="1:17" ht="15" customHeight="1" x14ac:dyDescent="0.3">
      <c r="A234" s="6" t="s">
        <v>99</v>
      </c>
      <c r="B234" s="6" t="s">
        <v>100</v>
      </c>
      <c r="C234" s="8">
        <v>1.4</v>
      </c>
      <c r="D234" s="22">
        <v>0.99611872146118696</v>
      </c>
      <c r="E234" s="18">
        <v>1</v>
      </c>
      <c r="F234" s="18">
        <v>0.99553571428571397</v>
      </c>
      <c r="G234" s="18">
        <v>0.99731182795698903</v>
      </c>
      <c r="H234" s="18">
        <v>1</v>
      </c>
      <c r="I234" s="18">
        <v>1</v>
      </c>
      <c r="J234" s="18">
        <v>1</v>
      </c>
      <c r="K234" s="18">
        <v>0.99731182795698903</v>
      </c>
      <c r="L234" s="18">
        <v>0.99731182795698903</v>
      </c>
      <c r="M234" s="18">
        <v>1</v>
      </c>
      <c r="N234" s="18">
        <v>0.97446236559139798</v>
      </c>
      <c r="O234" s="18">
        <v>0.99166666666666703</v>
      </c>
      <c r="P234" s="18">
        <v>1</v>
      </c>
      <c r="Q234" s="19"/>
    </row>
    <row r="235" spans="1:17" ht="15" customHeight="1" x14ac:dyDescent="0.3">
      <c r="A235" s="6" t="s">
        <v>119</v>
      </c>
      <c r="B235" s="6" t="s">
        <v>120</v>
      </c>
      <c r="C235" s="8">
        <v>1.4</v>
      </c>
      <c r="D235" s="22">
        <v>0.99611872146118696</v>
      </c>
      <c r="E235" s="18">
        <v>1</v>
      </c>
      <c r="F235" s="18">
        <v>1</v>
      </c>
      <c r="G235" s="18">
        <v>1</v>
      </c>
      <c r="H235" s="18">
        <v>1</v>
      </c>
      <c r="I235" s="18">
        <v>1</v>
      </c>
      <c r="J235" s="18">
        <v>1</v>
      </c>
      <c r="K235" s="18">
        <v>1</v>
      </c>
      <c r="L235" s="18">
        <v>1</v>
      </c>
      <c r="M235" s="18">
        <v>1</v>
      </c>
      <c r="N235" s="18">
        <v>1</v>
      </c>
      <c r="O235" s="18">
        <v>0.98888888888888904</v>
      </c>
      <c r="P235" s="18">
        <v>0.96505376344086002</v>
      </c>
      <c r="Q235" s="19"/>
    </row>
    <row r="236" spans="1:17" ht="15" customHeight="1" x14ac:dyDescent="0.3">
      <c r="A236" s="6" t="s">
        <v>184</v>
      </c>
      <c r="B236" s="6" t="s">
        <v>185</v>
      </c>
      <c r="C236" s="8">
        <v>1.4</v>
      </c>
      <c r="D236" s="22">
        <v>0.99623287671232896</v>
      </c>
      <c r="E236" s="18">
        <v>0.99462365591397905</v>
      </c>
      <c r="F236" s="18">
        <v>1</v>
      </c>
      <c r="G236" s="18">
        <v>1</v>
      </c>
      <c r="H236" s="18">
        <v>0.98333333333333295</v>
      </c>
      <c r="I236" s="18">
        <v>0.989247311827957</v>
      </c>
      <c r="J236" s="18">
        <v>1</v>
      </c>
      <c r="K236" s="18">
        <v>1</v>
      </c>
      <c r="L236" s="18">
        <v>0.98790322580645196</v>
      </c>
      <c r="M236" s="18">
        <v>1</v>
      </c>
      <c r="N236" s="18">
        <v>1</v>
      </c>
      <c r="O236" s="18">
        <v>1</v>
      </c>
      <c r="P236" s="18">
        <v>1</v>
      </c>
      <c r="Q236" s="19"/>
    </row>
    <row r="237" spans="1:17" ht="15" customHeight="1" x14ac:dyDescent="0.3">
      <c r="A237" s="6" t="s">
        <v>238</v>
      </c>
      <c r="B237" s="6" t="s">
        <v>239</v>
      </c>
      <c r="C237" s="8">
        <v>1.3</v>
      </c>
      <c r="D237" s="22">
        <v>0.99634703196346996</v>
      </c>
      <c r="E237" s="18">
        <v>0.97043010752688197</v>
      </c>
      <c r="F237" s="18">
        <v>0.99404761904761896</v>
      </c>
      <c r="G237" s="18">
        <v>1</v>
      </c>
      <c r="H237" s="18">
        <v>1</v>
      </c>
      <c r="I237" s="18">
        <v>1</v>
      </c>
      <c r="J237" s="18">
        <v>1</v>
      </c>
      <c r="K237" s="18">
        <v>1</v>
      </c>
      <c r="L237" s="18">
        <v>1</v>
      </c>
      <c r="M237" s="18">
        <v>1</v>
      </c>
      <c r="N237" s="18">
        <v>1</v>
      </c>
      <c r="O237" s="18">
        <v>1</v>
      </c>
      <c r="P237" s="18">
        <v>0.99193548387096797</v>
      </c>
      <c r="Q237" s="19"/>
    </row>
    <row r="238" spans="1:17" ht="15" customHeight="1" x14ac:dyDescent="0.3">
      <c r="A238" s="6" t="s">
        <v>265</v>
      </c>
      <c r="B238" s="6" t="s">
        <v>266</v>
      </c>
      <c r="C238" s="8">
        <v>1.3</v>
      </c>
      <c r="D238" s="22">
        <v>0.99634703196346996</v>
      </c>
      <c r="E238" s="18">
        <v>1</v>
      </c>
      <c r="F238" s="18">
        <v>0.98809523809523803</v>
      </c>
      <c r="G238" s="18">
        <v>1</v>
      </c>
      <c r="H238" s="18">
        <v>1</v>
      </c>
      <c r="I238" s="18">
        <v>1</v>
      </c>
      <c r="J238" s="18">
        <v>1</v>
      </c>
      <c r="K238" s="18">
        <v>1</v>
      </c>
      <c r="L238" s="18">
        <v>1</v>
      </c>
      <c r="M238" s="18">
        <v>1</v>
      </c>
      <c r="N238" s="18">
        <v>1</v>
      </c>
      <c r="O238" s="18">
        <v>1</v>
      </c>
      <c r="P238" s="18">
        <v>0.967741935483871</v>
      </c>
      <c r="Q238" s="19"/>
    </row>
    <row r="239" spans="1:17" ht="15" customHeight="1" x14ac:dyDescent="0.3">
      <c r="A239" s="6" t="s">
        <v>319</v>
      </c>
      <c r="B239" s="6" t="s">
        <v>315</v>
      </c>
      <c r="C239" s="8">
        <v>1.3</v>
      </c>
      <c r="D239" s="22">
        <v>0.99634703196346996</v>
      </c>
      <c r="E239" s="18">
        <v>1</v>
      </c>
      <c r="F239" s="18">
        <v>0.97023809523809501</v>
      </c>
      <c r="G239" s="18">
        <v>0.98387096774193605</v>
      </c>
      <c r="H239" s="18">
        <v>1</v>
      </c>
      <c r="I239" s="18">
        <v>1</v>
      </c>
      <c r="J239" s="18">
        <v>1</v>
      </c>
      <c r="K239" s="18">
        <v>1</v>
      </c>
      <c r="L239" s="18">
        <v>1</v>
      </c>
      <c r="M239" s="18">
        <v>1</v>
      </c>
      <c r="N239" s="18">
        <v>1</v>
      </c>
      <c r="O239" s="18">
        <v>1</v>
      </c>
      <c r="P239" s="18">
        <v>1</v>
      </c>
      <c r="Q239" s="19"/>
    </row>
    <row r="240" spans="1:17" ht="15" customHeight="1" x14ac:dyDescent="0.3">
      <c r="A240" s="6" t="s">
        <v>92</v>
      </c>
      <c r="B240" s="6" t="s">
        <v>51</v>
      </c>
      <c r="C240" s="8">
        <v>1.3</v>
      </c>
      <c r="D240" s="22">
        <v>0.99646118721461197</v>
      </c>
      <c r="E240" s="18">
        <v>1</v>
      </c>
      <c r="F240" s="18">
        <v>1</v>
      </c>
      <c r="G240" s="18">
        <v>1</v>
      </c>
      <c r="H240" s="18">
        <v>1</v>
      </c>
      <c r="I240" s="18">
        <v>0.99193548387096797</v>
      </c>
      <c r="J240" s="18">
        <v>1</v>
      </c>
      <c r="K240" s="18">
        <v>1</v>
      </c>
      <c r="L240" s="18">
        <v>0.98655913978494603</v>
      </c>
      <c r="M240" s="18">
        <v>1</v>
      </c>
      <c r="N240" s="18">
        <v>1</v>
      </c>
      <c r="O240" s="18">
        <v>0.97916666666666696</v>
      </c>
      <c r="P240" s="18">
        <v>1</v>
      </c>
      <c r="Q240" s="19"/>
    </row>
    <row r="241" spans="1:17" ht="15" customHeight="1" x14ac:dyDescent="0.3">
      <c r="A241" s="6" t="s">
        <v>167</v>
      </c>
      <c r="B241" s="6" t="s">
        <v>89</v>
      </c>
      <c r="C241" s="8">
        <v>1.2</v>
      </c>
      <c r="D241" s="22">
        <v>0.99668949771689497</v>
      </c>
      <c r="E241" s="18">
        <v>1</v>
      </c>
      <c r="F241" s="18">
        <v>0.99851190476190499</v>
      </c>
      <c r="G241" s="18">
        <v>1</v>
      </c>
      <c r="H241" s="18">
        <v>0.98888888888888904</v>
      </c>
      <c r="I241" s="18">
        <v>0.99865591397849496</v>
      </c>
      <c r="J241" s="18">
        <v>0.99305555555555602</v>
      </c>
      <c r="K241" s="18">
        <v>0.99193548387096797</v>
      </c>
      <c r="L241" s="18">
        <v>1</v>
      </c>
      <c r="M241" s="18">
        <v>1</v>
      </c>
      <c r="N241" s="18">
        <v>0.989247311827957</v>
      </c>
      <c r="O241" s="18">
        <v>1</v>
      </c>
      <c r="P241" s="18">
        <v>1</v>
      </c>
      <c r="Q241" s="19"/>
    </row>
    <row r="242" spans="1:17" ht="15" customHeight="1" x14ac:dyDescent="0.3">
      <c r="A242" s="6" t="s">
        <v>219</v>
      </c>
      <c r="B242" s="6" t="s">
        <v>138</v>
      </c>
      <c r="C242" s="8">
        <v>1.2</v>
      </c>
      <c r="D242" s="22">
        <v>0.99680365296803697</v>
      </c>
      <c r="E242" s="18">
        <v>1</v>
      </c>
      <c r="F242" s="18">
        <v>0.98660714285714302</v>
      </c>
      <c r="G242" s="18">
        <v>0.97715053763440896</v>
      </c>
      <c r="H242" s="18">
        <v>1</v>
      </c>
      <c r="I242" s="18">
        <v>1</v>
      </c>
      <c r="J242" s="18">
        <v>1</v>
      </c>
      <c r="K242" s="18">
        <v>0.99731182795698903</v>
      </c>
      <c r="L242" s="18">
        <v>1</v>
      </c>
      <c r="M242" s="18">
        <v>1</v>
      </c>
      <c r="N242" s="18">
        <v>1</v>
      </c>
      <c r="O242" s="18">
        <v>1</v>
      </c>
      <c r="P242" s="18">
        <v>1</v>
      </c>
      <c r="Q242" s="19"/>
    </row>
    <row r="243" spans="1:17" ht="15" customHeight="1" x14ac:dyDescent="0.3">
      <c r="A243" s="6" t="s">
        <v>234</v>
      </c>
      <c r="B243" s="6" t="s">
        <v>235</v>
      </c>
      <c r="C243" s="8">
        <v>1.2</v>
      </c>
      <c r="D243" s="22">
        <v>0.99680365296803697</v>
      </c>
      <c r="E243" s="18">
        <v>0.98118279569892497</v>
      </c>
      <c r="F243" s="18">
        <v>1</v>
      </c>
      <c r="G243" s="18">
        <v>0.99865591397849496</v>
      </c>
      <c r="H243" s="18">
        <v>0.99722222222222201</v>
      </c>
      <c r="I243" s="18">
        <v>0.99865591397849496</v>
      </c>
      <c r="J243" s="18">
        <v>0.99027777777777803</v>
      </c>
      <c r="K243" s="18">
        <v>1</v>
      </c>
      <c r="L243" s="18">
        <v>1</v>
      </c>
      <c r="M243" s="18">
        <v>0.99583333333333302</v>
      </c>
      <c r="N243" s="18">
        <v>1</v>
      </c>
      <c r="O243" s="18">
        <v>1</v>
      </c>
      <c r="P243" s="18">
        <v>1</v>
      </c>
      <c r="Q243" s="19"/>
    </row>
    <row r="244" spans="1:17" ht="15" customHeight="1" x14ac:dyDescent="0.3">
      <c r="A244" s="6" t="s">
        <v>356</v>
      </c>
      <c r="B244" s="6" t="s">
        <v>299</v>
      </c>
      <c r="C244" s="8">
        <v>1.2</v>
      </c>
      <c r="D244" s="22">
        <v>0.99680365296803697</v>
      </c>
      <c r="E244" s="18">
        <v>1</v>
      </c>
      <c r="F244" s="18">
        <v>1</v>
      </c>
      <c r="G244" s="18">
        <v>0.99462365591397905</v>
      </c>
      <c r="H244" s="18">
        <v>0.98888888888888904</v>
      </c>
      <c r="I244" s="18">
        <v>0.98790322580645196</v>
      </c>
      <c r="J244" s="18">
        <v>0.99027777777777803</v>
      </c>
      <c r="K244" s="18">
        <v>1</v>
      </c>
      <c r="L244" s="18">
        <v>1</v>
      </c>
      <c r="M244" s="18">
        <v>1</v>
      </c>
      <c r="N244" s="18">
        <v>1</v>
      </c>
      <c r="O244" s="18">
        <v>1</v>
      </c>
      <c r="P244" s="18">
        <v>1</v>
      </c>
      <c r="Q244" s="19"/>
    </row>
    <row r="245" spans="1:17" ht="15" customHeight="1" x14ac:dyDescent="0.3">
      <c r="A245" s="6" t="s">
        <v>87</v>
      </c>
      <c r="B245" s="6" t="s">
        <v>36</v>
      </c>
      <c r="C245" s="8">
        <v>1.1000000000000001</v>
      </c>
      <c r="D245" s="22">
        <v>0.99691780821917797</v>
      </c>
      <c r="E245" s="18">
        <v>1</v>
      </c>
      <c r="F245" s="18">
        <v>1</v>
      </c>
      <c r="G245" s="18">
        <v>0.96505376344086002</v>
      </c>
      <c r="H245" s="18">
        <v>1</v>
      </c>
      <c r="I245" s="18">
        <v>1</v>
      </c>
      <c r="J245" s="18">
        <v>1</v>
      </c>
      <c r="K245" s="18">
        <v>1</v>
      </c>
      <c r="L245" s="18">
        <v>1</v>
      </c>
      <c r="M245" s="18">
        <v>1</v>
      </c>
      <c r="N245" s="18">
        <v>1</v>
      </c>
      <c r="O245" s="18">
        <v>1</v>
      </c>
      <c r="P245" s="18">
        <v>0.99865591397849496</v>
      </c>
      <c r="Q245" s="19"/>
    </row>
    <row r="246" spans="1:17" ht="15" customHeight="1" x14ac:dyDescent="0.3">
      <c r="A246" s="6" t="s">
        <v>334</v>
      </c>
      <c r="B246" s="6" t="s">
        <v>278</v>
      </c>
      <c r="C246" s="8">
        <v>1.1000000000000001</v>
      </c>
      <c r="D246" s="22">
        <v>0.99703196347031997</v>
      </c>
      <c r="E246" s="18">
        <v>0.99193548387096797</v>
      </c>
      <c r="F246" s="18">
        <v>1</v>
      </c>
      <c r="G246" s="18">
        <v>1</v>
      </c>
      <c r="H246" s="18">
        <v>0.99861111111111101</v>
      </c>
      <c r="I246" s="18">
        <v>0.99596774193548399</v>
      </c>
      <c r="J246" s="18">
        <v>1</v>
      </c>
      <c r="K246" s="18">
        <v>1</v>
      </c>
      <c r="L246" s="18">
        <v>0.99865591397849496</v>
      </c>
      <c r="M246" s="18">
        <v>1</v>
      </c>
      <c r="N246" s="18">
        <v>1</v>
      </c>
      <c r="O246" s="18">
        <v>1</v>
      </c>
      <c r="P246" s="18">
        <v>0.97983870967741904</v>
      </c>
      <c r="Q246" s="19"/>
    </row>
    <row r="247" spans="1:17" ht="15" customHeight="1" x14ac:dyDescent="0.3">
      <c r="A247" s="6" t="s">
        <v>42</v>
      </c>
      <c r="B247" s="6" t="s">
        <v>20</v>
      </c>
      <c r="C247" s="8">
        <v>1</v>
      </c>
      <c r="D247" s="22">
        <v>0.99726027397260297</v>
      </c>
      <c r="E247" s="18">
        <v>0.99462365591397905</v>
      </c>
      <c r="F247" s="18">
        <v>1</v>
      </c>
      <c r="G247" s="18">
        <v>1</v>
      </c>
      <c r="H247" s="18">
        <v>1</v>
      </c>
      <c r="I247" s="18">
        <v>0.99462365591397905</v>
      </c>
      <c r="J247" s="18">
        <v>0.99722222222222201</v>
      </c>
      <c r="K247" s="18">
        <v>0.99865591397849496</v>
      </c>
      <c r="L247" s="18">
        <v>1</v>
      </c>
      <c r="M247" s="18">
        <v>1</v>
      </c>
      <c r="N247" s="18">
        <v>1</v>
      </c>
      <c r="O247" s="18">
        <v>1</v>
      </c>
      <c r="P247" s="18">
        <v>0.98252688172043001</v>
      </c>
      <c r="Q247" s="19"/>
    </row>
    <row r="248" spans="1:17" ht="15" customHeight="1" x14ac:dyDescent="0.3">
      <c r="A248" s="6" t="s">
        <v>64</v>
      </c>
      <c r="B248" s="6" t="s">
        <v>65</v>
      </c>
      <c r="C248" s="8">
        <v>1</v>
      </c>
      <c r="D248" s="22">
        <v>0.99726027397260297</v>
      </c>
      <c r="E248" s="18">
        <v>0.98118279569892497</v>
      </c>
      <c r="F248" s="18">
        <v>1</v>
      </c>
      <c r="G248" s="18">
        <v>0.989247311827957</v>
      </c>
      <c r="H248" s="18">
        <v>1</v>
      </c>
      <c r="I248" s="18">
        <v>1</v>
      </c>
      <c r="J248" s="18">
        <v>1</v>
      </c>
      <c r="K248" s="18">
        <v>1</v>
      </c>
      <c r="L248" s="18">
        <v>0.99731182795698903</v>
      </c>
      <c r="M248" s="18">
        <v>1</v>
      </c>
      <c r="N248" s="18">
        <v>1</v>
      </c>
      <c r="O248" s="18">
        <v>1</v>
      </c>
      <c r="P248" s="18">
        <v>1</v>
      </c>
      <c r="Q248" s="19"/>
    </row>
    <row r="249" spans="1:17" ht="15" customHeight="1" x14ac:dyDescent="0.3">
      <c r="A249" s="6" t="s">
        <v>127</v>
      </c>
      <c r="B249" s="6" t="s">
        <v>109</v>
      </c>
      <c r="C249" s="8">
        <v>1</v>
      </c>
      <c r="D249" s="22">
        <v>0.99726027397260297</v>
      </c>
      <c r="E249" s="18">
        <v>1</v>
      </c>
      <c r="F249" s="18">
        <v>1</v>
      </c>
      <c r="G249" s="18">
        <v>1</v>
      </c>
      <c r="H249" s="18">
        <v>1</v>
      </c>
      <c r="I249" s="18">
        <v>1</v>
      </c>
      <c r="J249" s="18">
        <v>1</v>
      </c>
      <c r="K249" s="18">
        <v>1</v>
      </c>
      <c r="L249" s="18">
        <v>1</v>
      </c>
      <c r="M249" s="18">
        <v>1</v>
      </c>
      <c r="N249" s="18">
        <v>1</v>
      </c>
      <c r="O249" s="18">
        <v>1</v>
      </c>
      <c r="P249" s="18">
        <v>0.967741935483871</v>
      </c>
      <c r="Q249" s="19"/>
    </row>
    <row r="250" spans="1:17" ht="15" customHeight="1" x14ac:dyDescent="0.3">
      <c r="A250" s="6" t="s">
        <v>346</v>
      </c>
      <c r="B250" s="6" t="s">
        <v>311</v>
      </c>
      <c r="C250" s="8">
        <v>0.8</v>
      </c>
      <c r="D250" s="22">
        <v>0.99771689497716898</v>
      </c>
      <c r="E250" s="18">
        <v>0.99596774193548399</v>
      </c>
      <c r="F250" s="18">
        <v>1</v>
      </c>
      <c r="G250" s="18">
        <v>0.99865591397849496</v>
      </c>
      <c r="H250" s="18">
        <v>0.98194444444444395</v>
      </c>
      <c r="I250" s="18">
        <v>0.99865591397849496</v>
      </c>
      <c r="J250" s="18">
        <v>0.99722222222222201</v>
      </c>
      <c r="K250" s="18">
        <v>1</v>
      </c>
      <c r="L250" s="18">
        <v>1</v>
      </c>
      <c r="M250" s="18">
        <v>1</v>
      </c>
      <c r="N250" s="18">
        <v>1</v>
      </c>
      <c r="O250" s="18">
        <v>1</v>
      </c>
      <c r="P250" s="18">
        <v>1</v>
      </c>
      <c r="Q250" s="19"/>
    </row>
    <row r="251" spans="1:17" ht="15" customHeight="1" x14ac:dyDescent="0.3">
      <c r="A251" s="6" t="s">
        <v>145</v>
      </c>
      <c r="B251" s="6" t="s">
        <v>146</v>
      </c>
      <c r="C251" s="8">
        <v>0.8</v>
      </c>
      <c r="D251" s="22">
        <v>0.99783105022831098</v>
      </c>
      <c r="E251" s="18">
        <v>1</v>
      </c>
      <c r="F251" s="18">
        <v>1</v>
      </c>
      <c r="G251" s="18">
        <v>0.99327956989247301</v>
      </c>
      <c r="H251" s="18">
        <v>0.98194444444444395</v>
      </c>
      <c r="I251" s="18">
        <v>0.99865591397849496</v>
      </c>
      <c r="J251" s="18">
        <v>1</v>
      </c>
      <c r="K251" s="18">
        <v>1</v>
      </c>
      <c r="L251" s="18">
        <v>1</v>
      </c>
      <c r="M251" s="18">
        <v>1</v>
      </c>
      <c r="N251" s="18">
        <v>1</v>
      </c>
      <c r="O251" s="18">
        <v>1</v>
      </c>
      <c r="P251" s="18">
        <v>1</v>
      </c>
      <c r="Q251" s="19"/>
    </row>
    <row r="252" spans="1:17" ht="15" customHeight="1" x14ac:dyDescent="0.3">
      <c r="A252" s="6" t="s">
        <v>178</v>
      </c>
      <c r="B252" s="6" t="s">
        <v>68</v>
      </c>
      <c r="C252" s="8">
        <v>0.8</v>
      </c>
      <c r="D252" s="22">
        <v>0.99783105022831098</v>
      </c>
      <c r="E252" s="18">
        <v>0.99462365591397905</v>
      </c>
      <c r="F252" s="18">
        <v>1</v>
      </c>
      <c r="G252" s="18">
        <v>1</v>
      </c>
      <c r="H252" s="18">
        <v>1</v>
      </c>
      <c r="I252" s="18">
        <v>0.99596774193548399</v>
      </c>
      <c r="J252" s="18">
        <v>1</v>
      </c>
      <c r="K252" s="18">
        <v>1</v>
      </c>
      <c r="L252" s="18">
        <v>1</v>
      </c>
      <c r="M252" s="18">
        <v>1</v>
      </c>
      <c r="N252" s="18">
        <v>1</v>
      </c>
      <c r="O252" s="18">
        <v>0.98333333333333295</v>
      </c>
      <c r="P252" s="18">
        <v>1</v>
      </c>
      <c r="Q252" s="19"/>
    </row>
    <row r="253" spans="1:17" ht="15" customHeight="1" x14ac:dyDescent="0.3">
      <c r="A253" s="6" t="s">
        <v>58</v>
      </c>
      <c r="B253" s="6" t="s">
        <v>59</v>
      </c>
      <c r="C253" s="8">
        <v>0.8</v>
      </c>
      <c r="D253" s="22">
        <v>0.99794520547945198</v>
      </c>
      <c r="E253" s="18">
        <v>1</v>
      </c>
      <c r="F253" s="18">
        <v>0.99702380952380998</v>
      </c>
      <c r="G253" s="18">
        <v>1</v>
      </c>
      <c r="H253" s="18">
        <v>0.99444444444444502</v>
      </c>
      <c r="I253" s="18">
        <v>1</v>
      </c>
      <c r="J253" s="18">
        <v>0.99444444444444502</v>
      </c>
      <c r="K253" s="18">
        <v>1</v>
      </c>
      <c r="L253" s="18">
        <v>0.989247311827957</v>
      </c>
      <c r="M253" s="18">
        <v>1</v>
      </c>
      <c r="N253" s="18">
        <v>1</v>
      </c>
      <c r="O253" s="18">
        <v>1</v>
      </c>
      <c r="P253" s="18">
        <v>1</v>
      </c>
      <c r="Q253" s="19"/>
    </row>
    <row r="254" spans="1:17" ht="15" customHeight="1" x14ac:dyDescent="0.3">
      <c r="A254" s="6" t="s">
        <v>104</v>
      </c>
      <c r="B254" s="6" t="s">
        <v>29</v>
      </c>
      <c r="C254" s="8">
        <v>0.8</v>
      </c>
      <c r="D254" s="22">
        <v>0.99794520547945198</v>
      </c>
      <c r="E254" s="18">
        <v>1</v>
      </c>
      <c r="F254" s="18">
        <v>0.99702380952380998</v>
      </c>
      <c r="G254" s="18">
        <v>1</v>
      </c>
      <c r="H254" s="18">
        <v>1</v>
      </c>
      <c r="I254" s="18">
        <v>1</v>
      </c>
      <c r="J254" s="18">
        <v>1</v>
      </c>
      <c r="K254" s="18">
        <v>0.99462365591397905</v>
      </c>
      <c r="L254" s="18">
        <v>1</v>
      </c>
      <c r="M254" s="18">
        <v>1</v>
      </c>
      <c r="N254" s="18">
        <v>0.99462365591397905</v>
      </c>
      <c r="O254" s="18">
        <v>0.98888888888888904</v>
      </c>
      <c r="P254" s="18">
        <v>1</v>
      </c>
      <c r="Q254" s="19"/>
    </row>
    <row r="255" spans="1:17" ht="15" customHeight="1" x14ac:dyDescent="0.3">
      <c r="A255" s="6" t="s">
        <v>355</v>
      </c>
      <c r="B255" s="6" t="s">
        <v>80</v>
      </c>
      <c r="C255" s="8">
        <v>0.8</v>
      </c>
      <c r="D255" s="22">
        <v>0.99794520547945198</v>
      </c>
      <c r="E255" s="18">
        <v>1</v>
      </c>
      <c r="F255" s="18">
        <v>1</v>
      </c>
      <c r="G255" s="18">
        <v>0.99193548387096797</v>
      </c>
      <c r="H255" s="18">
        <v>0.99027777777777803</v>
      </c>
      <c r="I255" s="18">
        <v>0.99731182795698903</v>
      </c>
      <c r="J255" s="18">
        <v>1</v>
      </c>
      <c r="K255" s="18">
        <v>1</v>
      </c>
      <c r="L255" s="18">
        <v>0.99596774193548399</v>
      </c>
      <c r="M255" s="18">
        <v>1</v>
      </c>
      <c r="N255" s="18">
        <v>1</v>
      </c>
      <c r="O255" s="18">
        <v>1</v>
      </c>
      <c r="P255" s="18">
        <v>1</v>
      </c>
      <c r="Q255" s="19"/>
    </row>
    <row r="256" spans="1:17" ht="15" customHeight="1" x14ac:dyDescent="0.3">
      <c r="A256" s="6" t="s">
        <v>350</v>
      </c>
      <c r="B256" s="6" t="s">
        <v>275</v>
      </c>
      <c r="C256" s="8">
        <v>0.7</v>
      </c>
      <c r="D256" s="22">
        <v>0.99805936073059398</v>
      </c>
      <c r="E256" s="18">
        <v>1</v>
      </c>
      <c r="F256" s="18">
        <v>1</v>
      </c>
      <c r="G256" s="18">
        <v>0.99059139784946204</v>
      </c>
      <c r="H256" s="18">
        <v>0.98888888888888904</v>
      </c>
      <c r="I256" s="18">
        <v>0.99865591397849496</v>
      </c>
      <c r="J256" s="18">
        <v>1</v>
      </c>
      <c r="K256" s="18">
        <v>1</v>
      </c>
      <c r="L256" s="18">
        <v>0.99865591397849496</v>
      </c>
      <c r="M256" s="18">
        <v>1</v>
      </c>
      <c r="N256" s="18">
        <v>1</v>
      </c>
      <c r="O256" s="18">
        <v>1</v>
      </c>
      <c r="P256" s="18">
        <v>1</v>
      </c>
      <c r="Q256" s="19"/>
    </row>
    <row r="257" spans="1:17" ht="15" customHeight="1" x14ac:dyDescent="0.3">
      <c r="A257" s="6" t="s">
        <v>205</v>
      </c>
      <c r="B257" s="6" t="s">
        <v>206</v>
      </c>
      <c r="C257" s="8">
        <v>0.7</v>
      </c>
      <c r="D257" s="22">
        <v>0.99817351598173498</v>
      </c>
      <c r="E257" s="18">
        <v>1</v>
      </c>
      <c r="F257" s="18">
        <v>1</v>
      </c>
      <c r="G257" s="18">
        <v>1</v>
      </c>
      <c r="H257" s="18">
        <v>0.98888888888888904</v>
      </c>
      <c r="I257" s="18">
        <v>1</v>
      </c>
      <c r="J257" s="18">
        <v>1</v>
      </c>
      <c r="K257" s="18">
        <v>1</v>
      </c>
      <c r="L257" s="18">
        <v>1</v>
      </c>
      <c r="M257" s="18">
        <v>1</v>
      </c>
      <c r="N257" s="18">
        <v>0.989247311827957</v>
      </c>
      <c r="O257" s="18">
        <v>1</v>
      </c>
      <c r="P257" s="18">
        <v>1</v>
      </c>
      <c r="Q257" s="19"/>
    </row>
    <row r="258" spans="1:17" ht="15" customHeight="1" x14ac:dyDescent="0.3">
      <c r="A258" s="6" t="s">
        <v>137</v>
      </c>
      <c r="B258" s="6" t="s">
        <v>138</v>
      </c>
      <c r="C258" s="8">
        <v>0.6</v>
      </c>
      <c r="D258" s="22">
        <v>0.99828767123287698</v>
      </c>
      <c r="E258" s="18">
        <v>1</v>
      </c>
      <c r="F258" s="18">
        <v>0.985119047619048</v>
      </c>
      <c r="G258" s="18">
        <v>1</v>
      </c>
      <c r="H258" s="18">
        <v>1</v>
      </c>
      <c r="I258" s="18">
        <v>1</v>
      </c>
      <c r="J258" s="18">
        <v>1</v>
      </c>
      <c r="K258" s="18">
        <v>1</v>
      </c>
      <c r="L258" s="18">
        <v>1</v>
      </c>
      <c r="M258" s="18">
        <v>0.99305555555555602</v>
      </c>
      <c r="N258" s="18">
        <v>1</v>
      </c>
      <c r="O258" s="18">
        <v>1</v>
      </c>
      <c r="P258" s="18">
        <v>1</v>
      </c>
      <c r="Q258" s="19"/>
    </row>
    <row r="259" spans="1:17" ht="15" customHeight="1" x14ac:dyDescent="0.3">
      <c r="A259" s="6" t="s">
        <v>436</v>
      </c>
      <c r="B259" s="6" t="s">
        <v>437</v>
      </c>
      <c r="C259" s="8">
        <v>0.6</v>
      </c>
      <c r="D259" s="21">
        <v>0.66963470319634699</v>
      </c>
      <c r="E259" s="19"/>
      <c r="F259" s="19"/>
      <c r="G259" s="19"/>
      <c r="H259" s="19"/>
      <c r="I259" s="18">
        <v>1</v>
      </c>
      <c r="J259" s="18">
        <v>0.99722222222222201</v>
      </c>
      <c r="K259" s="18">
        <v>1</v>
      </c>
      <c r="L259" s="18">
        <v>1</v>
      </c>
      <c r="M259" s="18">
        <v>0.99722222222222201</v>
      </c>
      <c r="N259" s="18">
        <v>1</v>
      </c>
      <c r="O259" s="18">
        <v>1</v>
      </c>
      <c r="P259" s="18">
        <v>0.98655913978494603</v>
      </c>
      <c r="Q259" s="17" t="s">
        <v>537</v>
      </c>
    </row>
    <row r="260" spans="1:17" ht="15" customHeight="1" x14ac:dyDescent="0.3">
      <c r="A260" s="6" t="s">
        <v>75</v>
      </c>
      <c r="B260" s="6" t="s">
        <v>29</v>
      </c>
      <c r="C260" s="8">
        <v>0.6</v>
      </c>
      <c r="D260" s="22">
        <v>0.99840182648401798</v>
      </c>
      <c r="E260" s="18">
        <v>1</v>
      </c>
      <c r="F260" s="18">
        <v>0.99702380952380998</v>
      </c>
      <c r="G260" s="18">
        <v>1</v>
      </c>
      <c r="H260" s="18">
        <v>1</v>
      </c>
      <c r="I260" s="18">
        <v>1</v>
      </c>
      <c r="J260" s="18">
        <v>1</v>
      </c>
      <c r="K260" s="18">
        <v>0.99462365591397905</v>
      </c>
      <c r="L260" s="18">
        <v>1</v>
      </c>
      <c r="M260" s="18">
        <v>1</v>
      </c>
      <c r="N260" s="18">
        <v>1</v>
      </c>
      <c r="O260" s="18">
        <v>0.98888888888888904</v>
      </c>
      <c r="P260" s="18">
        <v>1</v>
      </c>
      <c r="Q260" s="19"/>
    </row>
    <row r="261" spans="1:17" ht="15" customHeight="1" x14ac:dyDescent="0.3">
      <c r="A261" s="6" t="s">
        <v>451</v>
      </c>
      <c r="B261" s="6" t="s">
        <v>392</v>
      </c>
      <c r="C261" s="8">
        <v>0.6</v>
      </c>
      <c r="D261" s="14">
        <v>0.33264840182648397</v>
      </c>
      <c r="E261" s="19"/>
      <c r="F261" s="19"/>
      <c r="G261" s="19"/>
      <c r="H261" s="19"/>
      <c r="I261" s="19"/>
      <c r="J261" s="19"/>
      <c r="K261" s="19"/>
      <c r="L261" s="19"/>
      <c r="M261" s="18">
        <v>0.98055555555555596</v>
      </c>
      <c r="N261" s="18">
        <v>1</v>
      </c>
      <c r="O261" s="18">
        <v>1</v>
      </c>
      <c r="P261" s="18">
        <v>1</v>
      </c>
      <c r="Q261" s="17" t="s">
        <v>537</v>
      </c>
    </row>
    <row r="262" spans="1:17" ht="15" customHeight="1" x14ac:dyDescent="0.3">
      <c r="A262" s="6" t="s">
        <v>117</v>
      </c>
      <c r="B262" s="6" t="s">
        <v>65</v>
      </c>
      <c r="C262" s="8">
        <v>0.6</v>
      </c>
      <c r="D262" s="22">
        <v>0.99840182648401798</v>
      </c>
      <c r="E262" s="18">
        <v>0.98387096774193605</v>
      </c>
      <c r="F262" s="18">
        <v>1</v>
      </c>
      <c r="G262" s="18">
        <v>1</v>
      </c>
      <c r="H262" s="18">
        <v>1</v>
      </c>
      <c r="I262" s="18">
        <v>1</v>
      </c>
      <c r="J262" s="18">
        <v>1</v>
      </c>
      <c r="K262" s="18">
        <v>1</v>
      </c>
      <c r="L262" s="18">
        <v>0.99731182795698903</v>
      </c>
      <c r="M262" s="18">
        <v>1</v>
      </c>
      <c r="N262" s="18">
        <v>1</v>
      </c>
      <c r="O262" s="18">
        <v>1</v>
      </c>
      <c r="P262" s="18">
        <v>1</v>
      </c>
      <c r="Q262" s="19"/>
    </row>
    <row r="263" spans="1:17" ht="15" customHeight="1" x14ac:dyDescent="0.3">
      <c r="A263" s="6" t="s">
        <v>258</v>
      </c>
      <c r="B263" s="6" t="s">
        <v>68</v>
      </c>
      <c r="C263" s="8">
        <v>0.5</v>
      </c>
      <c r="D263" s="22">
        <v>0.99851598173515999</v>
      </c>
      <c r="E263" s="18">
        <v>1</v>
      </c>
      <c r="F263" s="18">
        <v>1</v>
      </c>
      <c r="G263" s="18">
        <v>1</v>
      </c>
      <c r="H263" s="18">
        <v>1</v>
      </c>
      <c r="I263" s="18">
        <v>0.99731182795698903</v>
      </c>
      <c r="J263" s="18">
        <v>0.98750000000000004</v>
      </c>
      <c r="K263" s="18">
        <v>0.99731182795698903</v>
      </c>
      <c r="L263" s="18">
        <v>1</v>
      </c>
      <c r="M263" s="18">
        <v>1</v>
      </c>
      <c r="N263" s="18">
        <v>1</v>
      </c>
      <c r="O263" s="18">
        <v>1</v>
      </c>
      <c r="P263" s="18">
        <v>1</v>
      </c>
      <c r="Q263" s="19"/>
    </row>
    <row r="264" spans="1:17" ht="15" customHeight="1" x14ac:dyDescent="0.3">
      <c r="A264" s="6" t="s">
        <v>439</v>
      </c>
      <c r="B264" s="6" t="s">
        <v>437</v>
      </c>
      <c r="C264" s="8">
        <v>0.5</v>
      </c>
      <c r="D264" s="21">
        <v>0.66986301369862999</v>
      </c>
      <c r="E264" s="19"/>
      <c r="F264" s="19"/>
      <c r="G264" s="19"/>
      <c r="H264" s="19"/>
      <c r="I264" s="18">
        <v>1</v>
      </c>
      <c r="J264" s="18">
        <v>1</v>
      </c>
      <c r="K264" s="18">
        <v>1</v>
      </c>
      <c r="L264" s="18">
        <v>1</v>
      </c>
      <c r="M264" s="18">
        <v>0.99722222222222201</v>
      </c>
      <c r="N264" s="18">
        <v>1</v>
      </c>
      <c r="O264" s="18">
        <v>1</v>
      </c>
      <c r="P264" s="18">
        <v>0.98655913978494603</v>
      </c>
      <c r="Q264" s="17" t="s">
        <v>537</v>
      </c>
    </row>
    <row r="265" spans="1:17" ht="15" customHeight="1" x14ac:dyDescent="0.3">
      <c r="A265" s="6" t="s">
        <v>221</v>
      </c>
      <c r="B265" s="6" t="s">
        <v>206</v>
      </c>
      <c r="C265" s="8">
        <v>0.5</v>
      </c>
      <c r="D265" s="22">
        <v>0.99863013698630099</v>
      </c>
      <c r="E265" s="18">
        <v>1</v>
      </c>
      <c r="F265" s="18">
        <v>1</v>
      </c>
      <c r="G265" s="18">
        <v>1</v>
      </c>
      <c r="H265" s="18">
        <v>1</v>
      </c>
      <c r="I265" s="18">
        <v>1</v>
      </c>
      <c r="J265" s="18">
        <v>1</v>
      </c>
      <c r="K265" s="18">
        <v>0.99327956989247301</v>
      </c>
      <c r="L265" s="18">
        <v>0.99059139784946204</v>
      </c>
      <c r="M265" s="18">
        <v>1</v>
      </c>
      <c r="N265" s="18">
        <v>1</v>
      </c>
      <c r="O265" s="18">
        <v>1</v>
      </c>
      <c r="P265" s="18">
        <v>1</v>
      </c>
      <c r="Q265" s="19"/>
    </row>
    <row r="266" spans="1:17" ht="15" customHeight="1" x14ac:dyDescent="0.3">
      <c r="A266" s="6" t="s">
        <v>227</v>
      </c>
      <c r="B266" s="6" t="s">
        <v>44</v>
      </c>
      <c r="C266" s="8">
        <v>0.5</v>
      </c>
      <c r="D266" s="22">
        <v>0.99863013698630099</v>
      </c>
      <c r="E266" s="18">
        <v>1</v>
      </c>
      <c r="F266" s="18">
        <v>0.98809523809523803</v>
      </c>
      <c r="G266" s="18">
        <v>0.99462365591397905</v>
      </c>
      <c r="H266" s="18">
        <v>1</v>
      </c>
      <c r="I266" s="18">
        <v>1</v>
      </c>
      <c r="J266" s="18">
        <v>1</v>
      </c>
      <c r="K266" s="18">
        <v>1</v>
      </c>
      <c r="L266" s="18">
        <v>1</v>
      </c>
      <c r="M266" s="18">
        <v>1</v>
      </c>
      <c r="N266" s="18">
        <v>1</v>
      </c>
      <c r="O266" s="18">
        <v>1</v>
      </c>
      <c r="P266" s="18">
        <v>1</v>
      </c>
      <c r="Q266" s="19"/>
    </row>
    <row r="267" spans="1:17" ht="15" customHeight="1" x14ac:dyDescent="0.3">
      <c r="A267" s="6" t="s">
        <v>341</v>
      </c>
      <c r="B267" s="6" t="s">
        <v>322</v>
      </c>
      <c r="C267" s="8">
        <v>0.5</v>
      </c>
      <c r="D267" s="22">
        <v>0.99863013698630099</v>
      </c>
      <c r="E267" s="18">
        <v>1</v>
      </c>
      <c r="F267" s="18">
        <v>1</v>
      </c>
      <c r="G267" s="18">
        <v>0.99596774193548399</v>
      </c>
      <c r="H267" s="18">
        <v>0.99166666666666703</v>
      </c>
      <c r="I267" s="18">
        <v>0.99731182795698903</v>
      </c>
      <c r="J267" s="18">
        <v>0.99861111111111101</v>
      </c>
      <c r="K267" s="18">
        <v>1</v>
      </c>
      <c r="L267" s="18">
        <v>1</v>
      </c>
      <c r="M267" s="18">
        <v>1</v>
      </c>
      <c r="N267" s="18">
        <v>1</v>
      </c>
      <c r="O267" s="18">
        <v>1</v>
      </c>
      <c r="P267" s="18">
        <v>1</v>
      </c>
      <c r="Q267" s="19"/>
    </row>
    <row r="268" spans="1:17" ht="15" customHeight="1" x14ac:dyDescent="0.3">
      <c r="A268" s="6" t="s">
        <v>440</v>
      </c>
      <c r="B268" s="6" t="s">
        <v>437</v>
      </c>
      <c r="C268" s="8">
        <v>0.4</v>
      </c>
      <c r="D268" s="14">
        <v>0.41803652968036498</v>
      </c>
      <c r="E268" s="19"/>
      <c r="F268" s="19"/>
      <c r="G268" s="19"/>
      <c r="H268" s="19"/>
      <c r="I268" s="19"/>
      <c r="J268" s="19"/>
      <c r="K268" s="19"/>
      <c r="L268" s="18">
        <v>1</v>
      </c>
      <c r="M268" s="18">
        <v>1</v>
      </c>
      <c r="N268" s="18">
        <v>1</v>
      </c>
      <c r="O268" s="18">
        <v>1</v>
      </c>
      <c r="P268" s="18">
        <v>0.98655913978494603</v>
      </c>
      <c r="Q268" s="17" t="s">
        <v>537</v>
      </c>
    </row>
    <row r="269" spans="1:17" ht="15" customHeight="1" x14ac:dyDescent="0.3">
      <c r="A269" s="6" t="s">
        <v>83</v>
      </c>
      <c r="B269" s="6" t="s">
        <v>44</v>
      </c>
      <c r="C269" s="8">
        <v>0.4</v>
      </c>
      <c r="D269" s="22">
        <v>0.99885844748858399</v>
      </c>
      <c r="E269" s="18">
        <v>1</v>
      </c>
      <c r="F269" s="18">
        <v>0.98809523809523803</v>
      </c>
      <c r="G269" s="18">
        <v>1</v>
      </c>
      <c r="H269" s="18">
        <v>1</v>
      </c>
      <c r="I269" s="18">
        <v>1</v>
      </c>
      <c r="J269" s="18">
        <v>1</v>
      </c>
      <c r="K269" s="18">
        <v>1</v>
      </c>
      <c r="L269" s="18">
        <v>0.99731182795698903</v>
      </c>
      <c r="M269" s="18">
        <v>1</v>
      </c>
      <c r="N269" s="18">
        <v>1</v>
      </c>
      <c r="O269" s="18">
        <v>1</v>
      </c>
      <c r="P269" s="18">
        <v>1</v>
      </c>
      <c r="Q269" s="19"/>
    </row>
    <row r="270" spans="1:17" ht="15" customHeight="1" x14ac:dyDescent="0.3">
      <c r="A270" s="6" t="s">
        <v>111</v>
      </c>
      <c r="B270" s="6" t="s">
        <v>68</v>
      </c>
      <c r="C270" s="8">
        <v>0.4</v>
      </c>
      <c r="D270" s="22">
        <v>0.99885844748858399</v>
      </c>
      <c r="E270" s="18">
        <v>1</v>
      </c>
      <c r="F270" s="18">
        <v>1</v>
      </c>
      <c r="G270" s="18">
        <v>1</v>
      </c>
      <c r="H270" s="18">
        <v>0.99861111111111101</v>
      </c>
      <c r="I270" s="18">
        <v>0.99731182795698903</v>
      </c>
      <c r="J270" s="18">
        <v>0.99305555555555602</v>
      </c>
      <c r="K270" s="18">
        <v>0.99731182795698903</v>
      </c>
      <c r="L270" s="18">
        <v>1</v>
      </c>
      <c r="M270" s="18">
        <v>1</v>
      </c>
      <c r="N270" s="18">
        <v>1</v>
      </c>
      <c r="O270" s="18">
        <v>1</v>
      </c>
      <c r="P270" s="18">
        <v>1</v>
      </c>
      <c r="Q270" s="19"/>
    </row>
    <row r="271" spans="1:17" ht="15" customHeight="1" x14ac:dyDescent="0.3">
      <c r="A271" s="6" t="s">
        <v>343</v>
      </c>
      <c r="B271" s="6" t="s">
        <v>185</v>
      </c>
      <c r="C271" s="8">
        <v>0.4</v>
      </c>
      <c r="D271" s="22">
        <v>0.99897260273972599</v>
      </c>
      <c r="E271" s="18">
        <v>1</v>
      </c>
      <c r="F271" s="18">
        <v>1</v>
      </c>
      <c r="G271" s="18">
        <v>1</v>
      </c>
      <c r="H271" s="18">
        <v>1</v>
      </c>
      <c r="I271" s="18">
        <v>0.99596774193548399</v>
      </c>
      <c r="J271" s="18">
        <v>1</v>
      </c>
      <c r="K271" s="18">
        <v>1</v>
      </c>
      <c r="L271" s="18">
        <v>0.99193548387096797</v>
      </c>
      <c r="M271" s="18">
        <v>1</v>
      </c>
      <c r="N271" s="18">
        <v>1</v>
      </c>
      <c r="O271" s="18">
        <v>1</v>
      </c>
      <c r="P271" s="18">
        <v>1</v>
      </c>
      <c r="Q271" s="19"/>
    </row>
    <row r="272" spans="1:17" ht="15" customHeight="1" x14ac:dyDescent="0.3">
      <c r="A272" s="6" t="s">
        <v>310</v>
      </c>
      <c r="B272" s="6" t="s">
        <v>311</v>
      </c>
      <c r="C272" s="8">
        <v>0.3</v>
      </c>
      <c r="D272" s="22">
        <v>0.99908675799086799</v>
      </c>
      <c r="E272" s="18">
        <v>0.99596774193548399</v>
      </c>
      <c r="F272" s="18">
        <v>1</v>
      </c>
      <c r="G272" s="18">
        <v>0.99865591397849496</v>
      </c>
      <c r="H272" s="18">
        <v>0.99722222222222201</v>
      </c>
      <c r="I272" s="18">
        <v>0.99865591397849496</v>
      </c>
      <c r="J272" s="18">
        <v>0.99861111111111101</v>
      </c>
      <c r="K272" s="18">
        <v>1</v>
      </c>
      <c r="L272" s="18">
        <v>1</v>
      </c>
      <c r="M272" s="18">
        <v>1</v>
      </c>
      <c r="N272" s="18">
        <v>1</v>
      </c>
      <c r="O272" s="18">
        <v>1</v>
      </c>
      <c r="P272" s="18">
        <v>1</v>
      </c>
      <c r="Q272" s="19"/>
    </row>
    <row r="273" spans="1:17" ht="15" customHeight="1" x14ac:dyDescent="0.3">
      <c r="A273" s="6" t="s">
        <v>19</v>
      </c>
      <c r="B273" s="6" t="s">
        <v>20</v>
      </c>
      <c r="C273" s="8">
        <v>0.3</v>
      </c>
      <c r="D273" s="22">
        <v>0.99920091324200899</v>
      </c>
      <c r="E273" s="18">
        <v>1</v>
      </c>
      <c r="F273" s="18">
        <v>1</v>
      </c>
      <c r="G273" s="18">
        <v>1</v>
      </c>
      <c r="H273" s="18">
        <v>1</v>
      </c>
      <c r="I273" s="18">
        <v>0.99462365591397905</v>
      </c>
      <c r="J273" s="18">
        <v>0.99722222222222201</v>
      </c>
      <c r="K273" s="18">
        <v>0.99865591397849496</v>
      </c>
      <c r="L273" s="18">
        <v>1</v>
      </c>
      <c r="M273" s="18">
        <v>1</v>
      </c>
      <c r="N273" s="18">
        <v>1</v>
      </c>
      <c r="O273" s="18">
        <v>1</v>
      </c>
      <c r="P273" s="18">
        <v>1</v>
      </c>
      <c r="Q273" s="19"/>
    </row>
    <row r="274" spans="1:17" ht="15" customHeight="1" x14ac:dyDescent="0.3">
      <c r="A274" s="6" t="s">
        <v>285</v>
      </c>
      <c r="B274" s="6" t="s">
        <v>286</v>
      </c>
      <c r="C274" s="8">
        <v>0.3</v>
      </c>
      <c r="D274" s="22">
        <v>0.99920091324200899</v>
      </c>
      <c r="E274" s="18">
        <v>1</v>
      </c>
      <c r="F274" s="18">
        <v>1</v>
      </c>
      <c r="G274" s="18">
        <v>1</v>
      </c>
      <c r="H274" s="18">
        <v>1</v>
      </c>
      <c r="I274" s="18">
        <v>1</v>
      </c>
      <c r="J274" s="18">
        <v>1</v>
      </c>
      <c r="K274" s="18">
        <v>0.99462365591397905</v>
      </c>
      <c r="L274" s="18">
        <v>0.99596774193548399</v>
      </c>
      <c r="M274" s="18">
        <v>1</v>
      </c>
      <c r="N274" s="18">
        <v>1</v>
      </c>
      <c r="O274" s="18">
        <v>1</v>
      </c>
      <c r="P274" s="18">
        <v>1</v>
      </c>
      <c r="Q274" s="19"/>
    </row>
    <row r="275" spans="1:17" ht="15" customHeight="1" x14ac:dyDescent="0.3">
      <c r="A275" s="6" t="s">
        <v>321</v>
      </c>
      <c r="B275" s="6" t="s">
        <v>322</v>
      </c>
      <c r="C275" s="8">
        <v>0.2</v>
      </c>
      <c r="D275" s="22">
        <v>0.99931506849315099</v>
      </c>
      <c r="E275" s="18">
        <v>1</v>
      </c>
      <c r="F275" s="18">
        <v>1</v>
      </c>
      <c r="G275" s="18">
        <v>0.99731182795698903</v>
      </c>
      <c r="H275" s="18">
        <v>0.99722222222222201</v>
      </c>
      <c r="I275" s="18">
        <v>0.99865591397849496</v>
      </c>
      <c r="J275" s="18">
        <v>0.99861111111111101</v>
      </c>
      <c r="K275" s="18">
        <v>1</v>
      </c>
      <c r="L275" s="18">
        <v>1</v>
      </c>
      <c r="M275" s="18">
        <v>1</v>
      </c>
      <c r="N275" s="18">
        <v>1</v>
      </c>
      <c r="O275" s="18">
        <v>1</v>
      </c>
      <c r="P275" s="18">
        <v>1</v>
      </c>
      <c r="Q275" s="19"/>
    </row>
    <row r="276" spans="1:17" ht="15" customHeight="1" x14ac:dyDescent="0.3">
      <c r="A276" s="6" t="s">
        <v>335</v>
      </c>
      <c r="B276" s="6" t="s">
        <v>185</v>
      </c>
      <c r="C276" s="8">
        <v>0.2</v>
      </c>
      <c r="D276" s="22">
        <v>0.99931506849315099</v>
      </c>
      <c r="E276" s="18">
        <v>1</v>
      </c>
      <c r="F276" s="18">
        <v>1</v>
      </c>
      <c r="G276" s="18">
        <v>1</v>
      </c>
      <c r="H276" s="18">
        <v>1</v>
      </c>
      <c r="I276" s="18">
        <v>0.99596774193548399</v>
      </c>
      <c r="J276" s="18">
        <v>1</v>
      </c>
      <c r="K276" s="18">
        <v>1</v>
      </c>
      <c r="L276" s="18">
        <v>0.99596774193548399</v>
      </c>
      <c r="M276" s="18">
        <v>1</v>
      </c>
      <c r="N276" s="18">
        <v>1</v>
      </c>
      <c r="O276" s="18">
        <v>1</v>
      </c>
      <c r="P276" s="18">
        <v>1</v>
      </c>
      <c r="Q276" s="19"/>
    </row>
    <row r="277" spans="1:17" ht="15" customHeight="1" x14ac:dyDescent="0.3">
      <c r="A277" s="6" t="s">
        <v>57</v>
      </c>
      <c r="B277" s="6" t="s">
        <v>36</v>
      </c>
      <c r="C277" s="8">
        <v>0.2</v>
      </c>
      <c r="D277" s="22">
        <v>0.99942922374429199</v>
      </c>
      <c r="E277" s="18">
        <v>1</v>
      </c>
      <c r="F277" s="18">
        <v>1</v>
      </c>
      <c r="G277" s="18">
        <v>1</v>
      </c>
      <c r="H277" s="18">
        <v>1</v>
      </c>
      <c r="I277" s="18">
        <v>1</v>
      </c>
      <c r="J277" s="18">
        <v>1</v>
      </c>
      <c r="K277" s="18">
        <v>1</v>
      </c>
      <c r="L277" s="18">
        <v>1</v>
      </c>
      <c r="M277" s="18">
        <v>1</v>
      </c>
      <c r="N277" s="18">
        <v>1</v>
      </c>
      <c r="O277" s="18">
        <v>1</v>
      </c>
      <c r="P277" s="18">
        <v>0.99327956989247301</v>
      </c>
      <c r="Q277" s="19"/>
    </row>
    <row r="278" spans="1:17" ht="15" customHeight="1" x14ac:dyDescent="0.3">
      <c r="A278" s="6" t="s">
        <v>108</v>
      </c>
      <c r="B278" s="6" t="s">
        <v>109</v>
      </c>
      <c r="C278" s="8">
        <v>0.2</v>
      </c>
      <c r="D278" s="22">
        <v>0.99942922374429199</v>
      </c>
      <c r="E278" s="18">
        <v>1</v>
      </c>
      <c r="F278" s="18">
        <v>1</v>
      </c>
      <c r="G278" s="18">
        <v>1</v>
      </c>
      <c r="H278" s="18">
        <v>0.99722222222222201</v>
      </c>
      <c r="I278" s="18">
        <v>0.99731182795698903</v>
      </c>
      <c r="J278" s="18">
        <v>0.99861111111111101</v>
      </c>
      <c r="K278" s="18">
        <v>1</v>
      </c>
      <c r="L278" s="18">
        <v>1</v>
      </c>
      <c r="M278" s="18">
        <v>1</v>
      </c>
      <c r="N278" s="18">
        <v>1</v>
      </c>
      <c r="O278" s="18">
        <v>1</v>
      </c>
      <c r="P278" s="18">
        <v>1</v>
      </c>
      <c r="Q278" s="19"/>
    </row>
    <row r="279" spans="1:17" ht="15" customHeight="1" x14ac:dyDescent="0.3">
      <c r="A279" s="6" t="s">
        <v>50</v>
      </c>
      <c r="B279" s="6" t="s">
        <v>51</v>
      </c>
      <c r="C279" s="8">
        <v>0.2</v>
      </c>
      <c r="D279" s="22">
        <v>0.999543378995434</v>
      </c>
      <c r="E279" s="18">
        <v>1</v>
      </c>
      <c r="F279" s="18">
        <v>1</v>
      </c>
      <c r="G279" s="18">
        <v>1</v>
      </c>
      <c r="H279" s="18">
        <v>1</v>
      </c>
      <c r="I279" s="18">
        <v>1</v>
      </c>
      <c r="J279" s="18">
        <v>1</v>
      </c>
      <c r="K279" s="18">
        <v>1</v>
      </c>
      <c r="L279" s="18">
        <v>0.99462365591397905</v>
      </c>
      <c r="M279" s="18">
        <v>1</v>
      </c>
      <c r="N279" s="18">
        <v>1</v>
      </c>
      <c r="O279" s="18">
        <v>1</v>
      </c>
      <c r="P279" s="18">
        <v>1</v>
      </c>
      <c r="Q279" s="19"/>
    </row>
    <row r="280" spans="1:17" ht="15" customHeight="1" x14ac:dyDescent="0.3">
      <c r="A280" s="6" t="s">
        <v>128</v>
      </c>
      <c r="B280" s="6" t="s">
        <v>65</v>
      </c>
      <c r="C280" s="8">
        <v>0.2</v>
      </c>
      <c r="D280" s="22">
        <v>0.999543378995434</v>
      </c>
      <c r="E280" s="18">
        <v>1</v>
      </c>
      <c r="F280" s="18">
        <v>0.99702380952380998</v>
      </c>
      <c r="G280" s="18">
        <v>1</v>
      </c>
      <c r="H280" s="18">
        <v>1</v>
      </c>
      <c r="I280" s="18">
        <v>1</v>
      </c>
      <c r="J280" s="18">
        <v>1</v>
      </c>
      <c r="K280" s="18">
        <v>1</v>
      </c>
      <c r="L280" s="18">
        <v>0.99731182795698903</v>
      </c>
      <c r="M280" s="18">
        <v>1</v>
      </c>
      <c r="N280" s="18">
        <v>1</v>
      </c>
      <c r="O280" s="18">
        <v>1</v>
      </c>
      <c r="P280" s="18">
        <v>1</v>
      </c>
      <c r="Q280" s="19"/>
    </row>
    <row r="281" spans="1:17" ht="15" customHeight="1" x14ac:dyDescent="0.3">
      <c r="A281" s="6" t="s">
        <v>262</v>
      </c>
      <c r="B281" s="6" t="s">
        <v>263</v>
      </c>
      <c r="C281" s="8">
        <v>0.2</v>
      </c>
      <c r="D281" s="22">
        <v>0.999543378995434</v>
      </c>
      <c r="E281" s="18">
        <v>1</v>
      </c>
      <c r="F281" s="18">
        <v>0.99702380952380998</v>
      </c>
      <c r="G281" s="18">
        <v>1</v>
      </c>
      <c r="H281" s="18">
        <v>0.99722222222222201</v>
      </c>
      <c r="I281" s="18">
        <v>1</v>
      </c>
      <c r="J281" s="18">
        <v>1</v>
      </c>
      <c r="K281" s="18">
        <v>1</v>
      </c>
      <c r="L281" s="18">
        <v>1</v>
      </c>
      <c r="M281" s="18">
        <v>1</v>
      </c>
      <c r="N281" s="18">
        <v>1</v>
      </c>
      <c r="O281" s="18">
        <v>1</v>
      </c>
      <c r="P281" s="18">
        <v>1</v>
      </c>
      <c r="Q281" s="19"/>
    </row>
    <row r="282" spans="1:17" ht="15" customHeight="1" x14ac:dyDescent="0.3">
      <c r="A282" s="6" t="s">
        <v>103</v>
      </c>
      <c r="B282" s="6" t="s">
        <v>51</v>
      </c>
      <c r="C282" s="8">
        <v>0.1</v>
      </c>
      <c r="D282" s="22">
        <v>0.999657534246575</v>
      </c>
      <c r="E282" s="18">
        <v>0.99596774193548399</v>
      </c>
      <c r="F282" s="18">
        <v>1</v>
      </c>
      <c r="G282" s="18">
        <v>1</v>
      </c>
      <c r="H282" s="18">
        <v>1</v>
      </c>
      <c r="I282" s="18">
        <v>1</v>
      </c>
      <c r="J282" s="18">
        <v>1</v>
      </c>
      <c r="K282" s="18">
        <v>1</v>
      </c>
      <c r="L282" s="18">
        <v>1</v>
      </c>
      <c r="M282" s="18">
        <v>1</v>
      </c>
      <c r="N282" s="18">
        <v>1</v>
      </c>
      <c r="O282" s="18">
        <v>1</v>
      </c>
      <c r="P282" s="18">
        <v>1</v>
      </c>
      <c r="Q282" s="19"/>
    </row>
    <row r="283" spans="1:17" ht="15" customHeight="1" x14ac:dyDescent="0.3">
      <c r="A283" s="6" t="s">
        <v>305</v>
      </c>
      <c r="B283" s="6" t="s">
        <v>185</v>
      </c>
      <c r="C283" s="8">
        <v>0.1</v>
      </c>
      <c r="D283" s="22">
        <v>0.999657534246575</v>
      </c>
      <c r="E283" s="18">
        <v>1</v>
      </c>
      <c r="F283" s="18">
        <v>1</v>
      </c>
      <c r="G283" s="18">
        <v>1</v>
      </c>
      <c r="H283" s="18">
        <v>1</v>
      </c>
      <c r="I283" s="18">
        <v>0.99596774193548399</v>
      </c>
      <c r="J283" s="18">
        <v>1</v>
      </c>
      <c r="K283" s="18">
        <v>1</v>
      </c>
      <c r="L283" s="18">
        <v>1</v>
      </c>
      <c r="M283" s="18">
        <v>1</v>
      </c>
      <c r="N283" s="18">
        <v>1</v>
      </c>
      <c r="O283" s="18">
        <v>1</v>
      </c>
      <c r="P283" s="18">
        <v>1</v>
      </c>
      <c r="Q283" s="19"/>
    </row>
    <row r="284" spans="1:17" ht="15" customHeight="1" x14ac:dyDescent="0.3">
      <c r="A284" s="6" t="s">
        <v>94</v>
      </c>
      <c r="B284" s="6" t="s">
        <v>95</v>
      </c>
      <c r="C284" s="8">
        <v>0</v>
      </c>
      <c r="D284" s="22">
        <v>0.999885844748858</v>
      </c>
      <c r="E284" s="18">
        <v>1</v>
      </c>
      <c r="F284" s="18">
        <v>1</v>
      </c>
      <c r="G284" s="18">
        <v>0.99865591397849496</v>
      </c>
      <c r="H284" s="18">
        <v>1</v>
      </c>
      <c r="I284" s="18">
        <v>1</v>
      </c>
      <c r="J284" s="18">
        <v>1</v>
      </c>
      <c r="K284" s="18">
        <v>1</v>
      </c>
      <c r="L284" s="18">
        <v>1</v>
      </c>
      <c r="M284" s="18">
        <v>1</v>
      </c>
      <c r="N284" s="18">
        <v>1</v>
      </c>
      <c r="O284" s="18">
        <v>1</v>
      </c>
      <c r="P284" s="18">
        <v>1</v>
      </c>
      <c r="Q284" s="19"/>
    </row>
    <row r="285" spans="1:17" ht="15" customHeight="1" x14ac:dyDescent="0.3">
      <c r="A285" s="6" t="s">
        <v>176</v>
      </c>
      <c r="B285" s="6" t="s">
        <v>138</v>
      </c>
      <c r="C285" s="8">
        <v>0</v>
      </c>
      <c r="D285" s="22">
        <v>0.999885844748858</v>
      </c>
      <c r="E285" s="18">
        <v>1</v>
      </c>
      <c r="F285" s="18">
        <v>0.99851190476190499</v>
      </c>
      <c r="G285" s="18">
        <v>1</v>
      </c>
      <c r="H285" s="18">
        <v>1</v>
      </c>
      <c r="I285" s="18">
        <v>1</v>
      </c>
      <c r="J285" s="18">
        <v>1</v>
      </c>
      <c r="K285" s="18">
        <v>1</v>
      </c>
      <c r="L285" s="18">
        <v>1</v>
      </c>
      <c r="M285" s="18">
        <v>1</v>
      </c>
      <c r="N285" s="18">
        <v>1</v>
      </c>
      <c r="O285" s="18">
        <v>1</v>
      </c>
      <c r="P285" s="18">
        <v>1</v>
      </c>
      <c r="Q285" s="19"/>
    </row>
    <row r="286" spans="1:17" ht="15" customHeight="1" x14ac:dyDescent="0.3">
      <c r="A286" s="6" t="s">
        <v>140</v>
      </c>
      <c r="B286" s="6" t="s">
        <v>109</v>
      </c>
      <c r="C286" s="8">
        <v>0</v>
      </c>
      <c r="D286" s="22">
        <v>1</v>
      </c>
      <c r="E286" s="18">
        <v>1</v>
      </c>
      <c r="F286" s="18">
        <v>1</v>
      </c>
      <c r="G286" s="18">
        <v>1</v>
      </c>
      <c r="H286" s="18">
        <v>1</v>
      </c>
      <c r="I286" s="18">
        <v>1</v>
      </c>
      <c r="J286" s="18">
        <v>1</v>
      </c>
      <c r="K286" s="18">
        <v>1</v>
      </c>
      <c r="L286" s="18">
        <v>1</v>
      </c>
      <c r="M286" s="18">
        <v>1</v>
      </c>
      <c r="N286" s="18">
        <v>1</v>
      </c>
      <c r="O286" s="18">
        <v>1</v>
      </c>
      <c r="P286" s="18">
        <v>1</v>
      </c>
      <c r="Q286" s="19"/>
    </row>
    <row r="287" spans="1:17" ht="15" customHeight="1" x14ac:dyDescent="0.3">
      <c r="A287" s="6" t="s">
        <v>155</v>
      </c>
      <c r="B287" s="6" t="s">
        <v>156</v>
      </c>
      <c r="C287" s="8">
        <v>0</v>
      </c>
      <c r="D287" s="22">
        <v>1</v>
      </c>
      <c r="E287" s="18">
        <v>1</v>
      </c>
      <c r="F287" s="18">
        <v>1</v>
      </c>
      <c r="G287" s="18">
        <v>1</v>
      </c>
      <c r="H287" s="18">
        <v>1</v>
      </c>
      <c r="I287" s="18">
        <v>1</v>
      </c>
      <c r="J287" s="18">
        <v>1</v>
      </c>
      <c r="K287" s="18">
        <v>1</v>
      </c>
      <c r="L287" s="18">
        <v>1</v>
      </c>
      <c r="M287" s="18">
        <v>1</v>
      </c>
      <c r="N287" s="18">
        <v>1</v>
      </c>
      <c r="O287" s="18">
        <v>1</v>
      </c>
      <c r="P287" s="18">
        <v>1</v>
      </c>
      <c r="Q287" s="19"/>
    </row>
    <row r="288" spans="1:17" ht="15" customHeight="1" x14ac:dyDescent="0.3">
      <c r="A288" s="6" t="s">
        <v>280</v>
      </c>
      <c r="B288" s="6" t="s">
        <v>275</v>
      </c>
      <c r="C288" s="8">
        <v>0</v>
      </c>
      <c r="D288" s="22">
        <v>1</v>
      </c>
      <c r="E288" s="18">
        <v>1</v>
      </c>
      <c r="F288" s="18">
        <v>1</v>
      </c>
      <c r="G288" s="18">
        <v>1</v>
      </c>
      <c r="H288" s="18">
        <v>1</v>
      </c>
      <c r="I288" s="18">
        <v>1</v>
      </c>
      <c r="J288" s="18">
        <v>1</v>
      </c>
      <c r="K288" s="18">
        <v>1</v>
      </c>
      <c r="L288" s="18">
        <v>1</v>
      </c>
      <c r="M288" s="18">
        <v>1</v>
      </c>
      <c r="N288" s="18">
        <v>1</v>
      </c>
      <c r="O288" s="18">
        <v>1</v>
      </c>
      <c r="P288" s="18">
        <v>1</v>
      </c>
      <c r="Q288" s="19"/>
    </row>
    <row r="289" spans="1:17" ht="15" customHeight="1" x14ac:dyDescent="0.3">
      <c r="A289" s="6" t="s">
        <v>354</v>
      </c>
      <c r="B289" s="6" t="s">
        <v>272</v>
      </c>
      <c r="C289" s="8">
        <v>0</v>
      </c>
      <c r="D289" s="22">
        <v>1</v>
      </c>
      <c r="E289" s="18">
        <v>1</v>
      </c>
      <c r="F289" s="18">
        <v>1</v>
      </c>
      <c r="G289" s="18">
        <v>1</v>
      </c>
      <c r="H289" s="18">
        <v>1</v>
      </c>
      <c r="I289" s="18">
        <v>1</v>
      </c>
      <c r="J289" s="18">
        <v>1</v>
      </c>
      <c r="K289" s="18">
        <v>1</v>
      </c>
      <c r="L289" s="18">
        <v>1</v>
      </c>
      <c r="M289" s="18">
        <v>1</v>
      </c>
      <c r="N289" s="18">
        <v>1</v>
      </c>
      <c r="O289" s="18">
        <v>1</v>
      </c>
      <c r="P289" s="18">
        <v>1</v>
      </c>
      <c r="Q289" s="19"/>
    </row>
  </sheetData>
  <autoFilter ref="A4:Q289" xr:uid="{00000000-0009-0000-0000-000001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0"/>
  <sheetViews>
    <sheetView tabSelected="1" zoomScaleNormal="100" workbookViewId="0">
      <pane ySplit="4" topLeftCell="A5" activePane="bottomLeft" state="frozen"/>
      <selection sqref="A1:K1"/>
      <selection pane="bottomLeft" sqref="A1:K1"/>
    </sheetView>
  </sheetViews>
  <sheetFormatPr defaultColWidth="8.6640625" defaultRowHeight="15" customHeight="1" x14ac:dyDescent="0.3"/>
  <cols>
    <col min="1" max="1" width="28" customWidth="1"/>
    <col min="2" max="2" width="36" customWidth="1"/>
    <col min="3" max="3" width="18" customWidth="1"/>
    <col min="4" max="4" width="26" customWidth="1"/>
    <col min="5" max="5" width="14" customWidth="1"/>
    <col min="6" max="6" width="16.88671875" bestFit="1" customWidth="1"/>
    <col min="7" max="8" width="14" customWidth="1"/>
    <col min="9" max="9" width="12" customWidth="1"/>
    <col min="10" max="10" width="10" customWidth="1"/>
    <col min="11" max="11" width="12" customWidth="1"/>
    <col min="12" max="13" width="14" customWidth="1"/>
  </cols>
  <sheetData>
    <row r="1" spans="1:13" ht="17.25" customHeight="1" x14ac:dyDescent="0.3">
      <c r="A1" s="3" t="s">
        <v>538</v>
      </c>
      <c r="B1" s="3"/>
      <c r="C1" s="3"/>
      <c r="D1" s="3"/>
      <c r="E1" s="3"/>
      <c r="F1" s="3"/>
      <c r="G1" s="3"/>
      <c r="H1" s="3"/>
    </row>
    <row r="2" spans="1:13" ht="15" customHeight="1" x14ac:dyDescent="0.3">
      <c r="A2" s="2" t="s">
        <v>539</v>
      </c>
      <c r="B2" s="2"/>
      <c r="C2" s="2"/>
      <c r="D2" s="2"/>
      <c r="E2" s="2"/>
      <c r="F2" s="2"/>
      <c r="G2" s="2"/>
      <c r="H2" s="2"/>
    </row>
    <row r="4" spans="1:13" ht="30" customHeight="1" x14ac:dyDescent="0.3">
      <c r="A4" s="4" t="s">
        <v>4</v>
      </c>
      <c r="B4" s="4" t="s">
        <v>5</v>
      </c>
      <c r="C4" s="4" t="s">
        <v>6</v>
      </c>
      <c r="D4" s="4" t="s">
        <v>540</v>
      </c>
      <c r="E4" s="4" t="s">
        <v>541</v>
      </c>
      <c r="F4" s="4" t="s">
        <v>542</v>
      </c>
      <c r="G4" s="4" t="s">
        <v>543</v>
      </c>
      <c r="H4" s="4" t="s">
        <v>544</v>
      </c>
      <c r="I4" s="4" t="s">
        <v>10</v>
      </c>
      <c r="J4" s="4" t="s">
        <v>545</v>
      </c>
      <c r="K4" s="4" t="s">
        <v>546</v>
      </c>
      <c r="L4" s="4" t="s">
        <v>547</v>
      </c>
      <c r="M4" s="4" t="s">
        <v>548</v>
      </c>
    </row>
    <row r="5" spans="1:13" ht="15" customHeight="1" x14ac:dyDescent="0.3">
      <c r="A5" s="6" t="s">
        <v>385</v>
      </c>
      <c r="B5" s="6" t="s">
        <v>386</v>
      </c>
      <c r="C5" s="6" t="s">
        <v>387</v>
      </c>
      <c r="D5" s="6" t="s">
        <v>549</v>
      </c>
      <c r="E5" s="8">
        <v>12402.5</v>
      </c>
      <c r="F5" s="9">
        <f t="shared" ref="F5:F68" si="0">E5*6.2898</f>
        <v>78009.244500000001</v>
      </c>
      <c r="G5" s="8">
        <v>3200.8</v>
      </c>
      <c r="H5" s="8">
        <v>422</v>
      </c>
      <c r="I5" s="9">
        <v>5034</v>
      </c>
      <c r="J5" s="23">
        <f t="shared" ref="J5:J68" si="1">I5/(365*24)</f>
        <v>0.5746575342465754</v>
      </c>
      <c r="K5" s="7">
        <v>8</v>
      </c>
      <c r="L5" s="8">
        <f t="shared" ref="L5:L68" si="2">F5/365</f>
        <v>213.72395753424658</v>
      </c>
      <c r="M5" s="8">
        <f t="shared" ref="M5:M68" si="3">IF(I5&gt;0,F5/(I5/24),0)</f>
        <v>371.91534922526819</v>
      </c>
    </row>
    <row r="6" spans="1:13" ht="15" customHeight="1" x14ac:dyDescent="0.3">
      <c r="A6" s="6" t="s">
        <v>15</v>
      </c>
      <c r="B6" s="6" t="s">
        <v>16</v>
      </c>
      <c r="C6" s="6" t="s">
        <v>17</v>
      </c>
      <c r="D6" s="6" t="s">
        <v>550</v>
      </c>
      <c r="E6" s="8">
        <v>11988.8</v>
      </c>
      <c r="F6" s="9">
        <f t="shared" si="0"/>
        <v>75407.154239999989</v>
      </c>
      <c r="G6" s="8">
        <v>4829.5</v>
      </c>
      <c r="H6" s="8">
        <v>2233.1</v>
      </c>
      <c r="I6" s="9">
        <v>8704</v>
      </c>
      <c r="J6" s="23">
        <f t="shared" si="1"/>
        <v>0.99360730593607305</v>
      </c>
      <c r="K6" s="7">
        <v>12</v>
      </c>
      <c r="L6" s="8">
        <f t="shared" si="2"/>
        <v>206.59494312328763</v>
      </c>
      <c r="M6" s="8">
        <f t="shared" si="3"/>
        <v>207.92413852941172</v>
      </c>
    </row>
    <row r="7" spans="1:13" ht="15" customHeight="1" x14ac:dyDescent="0.3">
      <c r="A7" s="6" t="s">
        <v>428</v>
      </c>
      <c r="B7" s="6" t="s">
        <v>23</v>
      </c>
      <c r="C7" s="6" t="s">
        <v>24</v>
      </c>
      <c r="D7" s="6" t="s">
        <v>549</v>
      </c>
      <c r="E7" s="8">
        <v>11937</v>
      </c>
      <c r="F7" s="9">
        <f t="shared" si="0"/>
        <v>75081.342599999989</v>
      </c>
      <c r="G7" s="8">
        <v>5351.9</v>
      </c>
      <c r="H7" s="8">
        <v>358.3</v>
      </c>
      <c r="I7" s="9">
        <v>6167</v>
      </c>
      <c r="J7" s="23">
        <f t="shared" si="1"/>
        <v>0.70399543378995433</v>
      </c>
      <c r="K7" s="7">
        <v>9</v>
      </c>
      <c r="L7" s="8">
        <f t="shared" si="2"/>
        <v>205.70230849315067</v>
      </c>
      <c r="M7" s="8">
        <f t="shared" si="3"/>
        <v>292.19267429868654</v>
      </c>
    </row>
    <row r="8" spans="1:13" ht="15" customHeight="1" x14ac:dyDescent="0.3">
      <c r="A8" s="6" t="s">
        <v>430</v>
      </c>
      <c r="B8" s="6" t="s">
        <v>397</v>
      </c>
      <c r="C8" s="6" t="s">
        <v>398</v>
      </c>
      <c r="D8" s="6" t="s">
        <v>549</v>
      </c>
      <c r="E8" s="8">
        <v>11370.3</v>
      </c>
      <c r="F8" s="9">
        <f t="shared" si="0"/>
        <v>71516.912939999995</v>
      </c>
      <c r="G8" s="8">
        <v>6762.3</v>
      </c>
      <c r="H8" s="8">
        <v>86.4</v>
      </c>
      <c r="I8" s="9">
        <v>5842</v>
      </c>
      <c r="J8" s="23">
        <f t="shared" si="1"/>
        <v>0.66689497716894974</v>
      </c>
      <c r="K8" s="7">
        <v>8</v>
      </c>
      <c r="L8" s="8">
        <f t="shared" si="2"/>
        <v>195.93674778082189</v>
      </c>
      <c r="M8" s="8">
        <f t="shared" si="3"/>
        <v>293.80450369051692</v>
      </c>
    </row>
    <row r="9" spans="1:13" ht="15" customHeight="1" x14ac:dyDescent="0.3">
      <c r="A9" s="6" t="s">
        <v>19</v>
      </c>
      <c r="B9" s="6" t="s">
        <v>20</v>
      </c>
      <c r="C9" s="6" t="s">
        <v>21</v>
      </c>
      <c r="D9" s="6" t="s">
        <v>549</v>
      </c>
      <c r="E9" s="8">
        <v>10387.5</v>
      </c>
      <c r="F9" s="9">
        <f t="shared" si="0"/>
        <v>65335.297499999993</v>
      </c>
      <c r="G9" s="8">
        <v>2367.8000000000002</v>
      </c>
      <c r="H9" s="8">
        <v>155.69999999999999</v>
      </c>
      <c r="I9" s="9">
        <v>8753</v>
      </c>
      <c r="J9" s="23">
        <f t="shared" si="1"/>
        <v>0.9992009132420091</v>
      </c>
      <c r="K9" s="7">
        <v>12</v>
      </c>
      <c r="L9" s="8">
        <f t="shared" si="2"/>
        <v>179.00081506849313</v>
      </c>
      <c r="M9" s="8">
        <f t="shared" si="3"/>
        <v>179.14396664000913</v>
      </c>
    </row>
    <row r="10" spans="1:13" ht="15" customHeight="1" x14ac:dyDescent="0.3">
      <c r="A10" s="6" t="s">
        <v>22</v>
      </c>
      <c r="B10" s="6" t="s">
        <v>23</v>
      </c>
      <c r="C10" s="6" t="s">
        <v>24</v>
      </c>
      <c r="D10" s="6" t="s">
        <v>549</v>
      </c>
      <c r="E10" s="8">
        <v>10347.299999999999</v>
      </c>
      <c r="F10" s="9">
        <f t="shared" si="0"/>
        <v>65082.447539999994</v>
      </c>
      <c r="G10" s="8">
        <v>1846.4</v>
      </c>
      <c r="H10" s="8">
        <v>1026.5</v>
      </c>
      <c r="I10" s="9">
        <v>8530</v>
      </c>
      <c r="J10" s="23">
        <f t="shared" si="1"/>
        <v>0.97374429223744297</v>
      </c>
      <c r="K10" s="7">
        <v>12</v>
      </c>
      <c r="L10" s="8">
        <f t="shared" si="2"/>
        <v>178.30807545205477</v>
      </c>
      <c r="M10" s="8">
        <f t="shared" si="3"/>
        <v>183.11591335990619</v>
      </c>
    </row>
    <row r="11" spans="1:13" ht="15" customHeight="1" x14ac:dyDescent="0.3">
      <c r="A11" s="6" t="s">
        <v>25</v>
      </c>
      <c r="B11" s="6" t="s">
        <v>26</v>
      </c>
      <c r="C11" s="6" t="s">
        <v>27</v>
      </c>
      <c r="D11" s="6" t="s">
        <v>549</v>
      </c>
      <c r="E11" s="8">
        <v>9879.9</v>
      </c>
      <c r="F11" s="9">
        <f t="shared" si="0"/>
        <v>62142.595019999993</v>
      </c>
      <c r="G11" s="8">
        <v>3746.2</v>
      </c>
      <c r="H11" s="8">
        <v>858.4</v>
      </c>
      <c r="I11" s="9">
        <v>8553</v>
      </c>
      <c r="J11" s="23">
        <f t="shared" si="1"/>
        <v>0.97636986301369866</v>
      </c>
      <c r="K11" s="7">
        <v>12</v>
      </c>
      <c r="L11" s="8">
        <f t="shared" si="2"/>
        <v>170.25368498630135</v>
      </c>
      <c r="M11" s="8">
        <f t="shared" si="3"/>
        <v>174.37417052262361</v>
      </c>
    </row>
    <row r="12" spans="1:13" ht="15" customHeight="1" x14ac:dyDescent="0.3">
      <c r="A12" s="6" t="s">
        <v>432</v>
      </c>
      <c r="B12" s="6" t="s">
        <v>362</v>
      </c>
      <c r="C12" s="6" t="s">
        <v>363</v>
      </c>
      <c r="D12" s="6" t="s">
        <v>549</v>
      </c>
      <c r="E12" s="8">
        <v>9777.7000000000007</v>
      </c>
      <c r="F12" s="9">
        <f t="shared" si="0"/>
        <v>61499.777459999998</v>
      </c>
      <c r="G12" s="8">
        <v>2093.1</v>
      </c>
      <c r="H12" s="8">
        <v>194.7</v>
      </c>
      <c r="I12" s="9">
        <v>6163</v>
      </c>
      <c r="J12" s="23">
        <f t="shared" si="1"/>
        <v>0.7035388127853881</v>
      </c>
      <c r="K12" s="7">
        <v>9</v>
      </c>
      <c r="L12" s="8">
        <f t="shared" si="2"/>
        <v>168.49254098630135</v>
      </c>
      <c r="M12" s="8">
        <f t="shared" si="3"/>
        <v>239.49288642544212</v>
      </c>
    </row>
    <row r="13" spans="1:13" ht="15" customHeight="1" x14ac:dyDescent="0.3">
      <c r="A13" s="6" t="s">
        <v>28</v>
      </c>
      <c r="B13" s="6" t="s">
        <v>29</v>
      </c>
      <c r="C13" s="6" t="s">
        <v>30</v>
      </c>
      <c r="D13" s="6" t="s">
        <v>550</v>
      </c>
      <c r="E13" s="8">
        <v>9685.6</v>
      </c>
      <c r="F13" s="9">
        <f t="shared" si="0"/>
        <v>60920.486879999997</v>
      </c>
      <c r="G13" s="8">
        <v>1810.3</v>
      </c>
      <c r="H13" s="8">
        <v>747.9</v>
      </c>
      <c r="I13" s="9">
        <v>8682</v>
      </c>
      <c r="J13" s="23">
        <f t="shared" si="1"/>
        <v>0.99109589041095891</v>
      </c>
      <c r="K13" s="7">
        <v>12</v>
      </c>
      <c r="L13" s="8">
        <f t="shared" si="2"/>
        <v>166.90544350684931</v>
      </c>
      <c r="M13" s="8">
        <f t="shared" si="3"/>
        <v>168.4049395438839</v>
      </c>
    </row>
    <row r="14" spans="1:13" ht="15" customHeight="1" x14ac:dyDescent="0.3">
      <c r="A14" s="6" t="s">
        <v>433</v>
      </c>
      <c r="B14" s="6" t="s">
        <v>23</v>
      </c>
      <c r="C14" s="6" t="s">
        <v>24</v>
      </c>
      <c r="D14" s="6" t="s">
        <v>549</v>
      </c>
      <c r="E14" s="8">
        <v>8941.5</v>
      </c>
      <c r="F14" s="9">
        <f t="shared" si="0"/>
        <v>56240.246699999996</v>
      </c>
      <c r="G14" s="8">
        <v>3307</v>
      </c>
      <c r="H14" s="8">
        <v>295.3</v>
      </c>
      <c r="I14" s="9">
        <v>6128</v>
      </c>
      <c r="J14" s="23">
        <f t="shared" si="1"/>
        <v>0.69954337899543384</v>
      </c>
      <c r="K14" s="7">
        <v>9</v>
      </c>
      <c r="L14" s="8">
        <f t="shared" si="2"/>
        <v>154.08286767123286</v>
      </c>
      <c r="M14" s="8">
        <f t="shared" si="3"/>
        <v>220.26206279373366</v>
      </c>
    </row>
    <row r="15" spans="1:13" ht="15" customHeight="1" x14ac:dyDescent="0.3">
      <c r="A15" s="6" t="s">
        <v>31</v>
      </c>
      <c r="B15" s="6" t="s">
        <v>20</v>
      </c>
      <c r="C15" s="6" t="s">
        <v>21</v>
      </c>
      <c r="D15" s="6" t="s">
        <v>549</v>
      </c>
      <c r="E15" s="8">
        <v>8814.6</v>
      </c>
      <c r="F15" s="9">
        <f t="shared" si="0"/>
        <v>55442.071080000002</v>
      </c>
      <c r="G15" s="8">
        <v>1465.3</v>
      </c>
      <c r="H15" s="8">
        <v>292.10000000000002</v>
      </c>
      <c r="I15" s="9">
        <v>8706</v>
      </c>
      <c r="J15" s="23">
        <f t="shared" si="1"/>
        <v>0.99383561643835616</v>
      </c>
      <c r="K15" s="7">
        <v>12</v>
      </c>
      <c r="L15" s="8">
        <f t="shared" si="2"/>
        <v>151.89608515068494</v>
      </c>
      <c r="M15" s="8">
        <f t="shared" si="3"/>
        <v>152.83823867677464</v>
      </c>
    </row>
    <row r="16" spans="1:13" ht="15" customHeight="1" x14ac:dyDescent="0.3">
      <c r="A16" s="6" t="s">
        <v>434</v>
      </c>
      <c r="B16" s="6" t="s">
        <v>386</v>
      </c>
      <c r="C16" s="6" t="s">
        <v>387</v>
      </c>
      <c r="D16" s="6" t="s">
        <v>549</v>
      </c>
      <c r="E16" s="8">
        <v>8480.2000000000007</v>
      </c>
      <c r="F16" s="9">
        <f t="shared" si="0"/>
        <v>53338.761960000003</v>
      </c>
      <c r="G16" s="8">
        <v>4875.8</v>
      </c>
      <c r="H16" s="8">
        <v>601.1</v>
      </c>
      <c r="I16" s="9">
        <v>3476</v>
      </c>
      <c r="J16" s="23">
        <f t="shared" si="1"/>
        <v>0.39680365296803655</v>
      </c>
      <c r="K16" s="7">
        <v>5</v>
      </c>
      <c r="L16" s="8">
        <f t="shared" si="2"/>
        <v>146.13359441095892</v>
      </c>
      <c r="M16" s="8">
        <f t="shared" si="3"/>
        <v>368.27683746835442</v>
      </c>
    </row>
    <row r="17" spans="1:13" ht="15" customHeight="1" x14ac:dyDescent="0.3">
      <c r="A17" s="6" t="s">
        <v>361</v>
      </c>
      <c r="B17" s="6" t="s">
        <v>362</v>
      </c>
      <c r="C17" s="6" t="s">
        <v>363</v>
      </c>
      <c r="D17" s="6" t="s">
        <v>549</v>
      </c>
      <c r="E17" s="8">
        <v>8325.5</v>
      </c>
      <c r="F17" s="9">
        <f t="shared" si="0"/>
        <v>52365.729899999998</v>
      </c>
      <c r="G17" s="8">
        <v>1717.8</v>
      </c>
      <c r="H17" s="8">
        <v>116.3</v>
      </c>
      <c r="I17" s="9">
        <v>6842</v>
      </c>
      <c r="J17" s="23">
        <f t="shared" si="1"/>
        <v>0.7810502283105023</v>
      </c>
      <c r="K17" s="7">
        <v>10</v>
      </c>
      <c r="L17" s="8">
        <f t="shared" si="2"/>
        <v>143.46775315068493</v>
      </c>
      <c r="M17" s="8">
        <f t="shared" si="3"/>
        <v>183.68569389067525</v>
      </c>
    </row>
    <row r="18" spans="1:13" ht="15" customHeight="1" x14ac:dyDescent="0.3">
      <c r="A18" s="6" t="s">
        <v>32</v>
      </c>
      <c r="B18" s="6" t="s">
        <v>33</v>
      </c>
      <c r="C18" s="6" t="s">
        <v>34</v>
      </c>
      <c r="D18" s="6" t="s">
        <v>550</v>
      </c>
      <c r="E18" s="8">
        <v>8310.5</v>
      </c>
      <c r="F18" s="9">
        <f t="shared" si="0"/>
        <v>52271.382899999997</v>
      </c>
      <c r="G18" s="8">
        <v>1680.1</v>
      </c>
      <c r="H18" s="8">
        <v>195.6</v>
      </c>
      <c r="I18" s="9">
        <v>8064</v>
      </c>
      <c r="J18" s="23">
        <f t="shared" si="1"/>
        <v>0.92054794520547945</v>
      </c>
      <c r="K18" s="7">
        <v>12</v>
      </c>
      <c r="L18" s="8">
        <f t="shared" si="2"/>
        <v>143.20926821917809</v>
      </c>
      <c r="M18" s="8">
        <f t="shared" si="3"/>
        <v>155.56959196428571</v>
      </c>
    </row>
    <row r="19" spans="1:13" ht="15" customHeight="1" x14ac:dyDescent="0.3">
      <c r="A19" s="6" t="s">
        <v>35</v>
      </c>
      <c r="B19" s="6" t="s">
        <v>36</v>
      </c>
      <c r="C19" s="6" t="s">
        <v>21</v>
      </c>
      <c r="D19" s="6" t="s">
        <v>550</v>
      </c>
      <c r="E19" s="8">
        <v>8096.7</v>
      </c>
      <c r="F19" s="9">
        <f t="shared" si="0"/>
        <v>50926.623659999997</v>
      </c>
      <c r="G19" s="8">
        <v>858.2</v>
      </c>
      <c r="H19" s="8">
        <v>862.2</v>
      </c>
      <c r="I19" s="9">
        <v>8500</v>
      </c>
      <c r="J19" s="23">
        <f t="shared" si="1"/>
        <v>0.97031963470319638</v>
      </c>
      <c r="K19" s="7">
        <v>12</v>
      </c>
      <c r="L19" s="8">
        <f t="shared" si="2"/>
        <v>139.52499632876712</v>
      </c>
      <c r="M19" s="8">
        <f t="shared" si="3"/>
        <v>143.79281974588233</v>
      </c>
    </row>
    <row r="20" spans="1:13" ht="15" customHeight="1" x14ac:dyDescent="0.3">
      <c r="A20" s="6" t="s">
        <v>366</v>
      </c>
      <c r="B20" s="6" t="s">
        <v>367</v>
      </c>
      <c r="C20" s="6" t="s">
        <v>368</v>
      </c>
      <c r="D20" s="6" t="s">
        <v>549</v>
      </c>
      <c r="E20" s="8">
        <v>8065</v>
      </c>
      <c r="F20" s="9">
        <f t="shared" si="0"/>
        <v>50727.236999999994</v>
      </c>
      <c r="G20" s="8">
        <v>30031.5</v>
      </c>
      <c r="H20" s="8">
        <v>1790.2</v>
      </c>
      <c r="I20" s="9">
        <v>7137</v>
      </c>
      <c r="J20" s="23">
        <f t="shared" si="1"/>
        <v>0.8147260273972603</v>
      </c>
      <c r="K20" s="7">
        <v>10</v>
      </c>
      <c r="L20" s="8">
        <f t="shared" si="2"/>
        <v>138.9787315068493</v>
      </c>
      <c r="M20" s="8">
        <f t="shared" si="3"/>
        <v>170.58339470365698</v>
      </c>
    </row>
    <row r="21" spans="1:13" ht="15" customHeight="1" x14ac:dyDescent="0.3">
      <c r="A21" s="6" t="s">
        <v>37</v>
      </c>
      <c r="B21" s="6" t="s">
        <v>38</v>
      </c>
      <c r="C21" s="6" t="s">
        <v>39</v>
      </c>
      <c r="D21" s="6" t="s">
        <v>550</v>
      </c>
      <c r="E21" s="8">
        <v>7855.9</v>
      </c>
      <c r="F21" s="9">
        <f t="shared" si="0"/>
        <v>49412.039819999998</v>
      </c>
      <c r="G21" s="8">
        <v>720.3</v>
      </c>
      <c r="H21" s="8">
        <v>488.8</v>
      </c>
      <c r="I21" s="9">
        <v>8656</v>
      </c>
      <c r="J21" s="23">
        <f t="shared" si="1"/>
        <v>0.98812785388127855</v>
      </c>
      <c r="K21" s="7">
        <v>12</v>
      </c>
      <c r="L21" s="8">
        <f t="shared" si="2"/>
        <v>135.37545156164384</v>
      </c>
      <c r="M21" s="8">
        <f t="shared" si="3"/>
        <v>137.00195883548983</v>
      </c>
    </row>
    <row r="22" spans="1:13" ht="15" customHeight="1" x14ac:dyDescent="0.3">
      <c r="A22" s="6" t="s">
        <v>436</v>
      </c>
      <c r="B22" s="6" t="s">
        <v>437</v>
      </c>
      <c r="C22" s="6" t="s">
        <v>438</v>
      </c>
      <c r="D22" s="6" t="s">
        <v>549</v>
      </c>
      <c r="E22" s="8">
        <v>7805</v>
      </c>
      <c r="F22" s="9">
        <f t="shared" si="0"/>
        <v>49091.888999999996</v>
      </c>
      <c r="G22" s="8">
        <v>1366.4</v>
      </c>
      <c r="H22" s="8">
        <v>252.1</v>
      </c>
      <c r="I22" s="9">
        <v>5866</v>
      </c>
      <c r="J22" s="23">
        <f t="shared" si="1"/>
        <v>0.66963470319634699</v>
      </c>
      <c r="K22" s="7">
        <v>8</v>
      </c>
      <c r="L22" s="8">
        <f t="shared" si="2"/>
        <v>134.49832602739724</v>
      </c>
      <c r="M22" s="8">
        <f t="shared" si="3"/>
        <v>200.85327923627685</v>
      </c>
    </row>
    <row r="23" spans="1:13" ht="15" customHeight="1" x14ac:dyDescent="0.3">
      <c r="A23" s="6" t="s">
        <v>439</v>
      </c>
      <c r="B23" s="6" t="s">
        <v>437</v>
      </c>
      <c r="C23" s="6" t="s">
        <v>438</v>
      </c>
      <c r="D23" s="6" t="s">
        <v>549</v>
      </c>
      <c r="E23" s="8">
        <v>7724.3</v>
      </c>
      <c r="F23" s="9">
        <f t="shared" si="0"/>
        <v>48584.30214</v>
      </c>
      <c r="G23" s="8">
        <v>1477.3</v>
      </c>
      <c r="H23" s="8">
        <v>217.5</v>
      </c>
      <c r="I23" s="9">
        <v>5868</v>
      </c>
      <c r="J23" s="23">
        <f t="shared" si="1"/>
        <v>0.66986301369863011</v>
      </c>
      <c r="K23" s="7">
        <v>8</v>
      </c>
      <c r="L23" s="8">
        <f t="shared" si="2"/>
        <v>133.10767709589041</v>
      </c>
      <c r="M23" s="8">
        <f t="shared" si="3"/>
        <v>198.70880220858896</v>
      </c>
    </row>
    <row r="24" spans="1:13" ht="15" customHeight="1" x14ac:dyDescent="0.3">
      <c r="A24" s="6" t="s">
        <v>40</v>
      </c>
      <c r="B24" s="6" t="s">
        <v>16</v>
      </c>
      <c r="C24" s="6" t="s">
        <v>17</v>
      </c>
      <c r="D24" s="6" t="s">
        <v>550</v>
      </c>
      <c r="E24" s="8">
        <v>7651.6</v>
      </c>
      <c r="F24" s="9">
        <f t="shared" si="0"/>
        <v>48127.03368</v>
      </c>
      <c r="G24" s="8">
        <v>2357.6</v>
      </c>
      <c r="H24" s="8">
        <v>3022.2</v>
      </c>
      <c r="I24" s="9">
        <v>8685</v>
      </c>
      <c r="J24" s="23">
        <f t="shared" si="1"/>
        <v>0.99143835616438358</v>
      </c>
      <c r="K24" s="7">
        <v>12</v>
      </c>
      <c r="L24" s="8">
        <f t="shared" si="2"/>
        <v>131.85488679452055</v>
      </c>
      <c r="M24" s="8">
        <f t="shared" si="3"/>
        <v>132.99353003108808</v>
      </c>
    </row>
    <row r="25" spans="1:13" ht="15" customHeight="1" x14ac:dyDescent="0.3">
      <c r="A25" s="6" t="s">
        <v>41</v>
      </c>
      <c r="B25" s="6" t="s">
        <v>16</v>
      </c>
      <c r="C25" s="6" t="s">
        <v>17</v>
      </c>
      <c r="D25" s="6" t="s">
        <v>550</v>
      </c>
      <c r="E25" s="8">
        <v>7274.3</v>
      </c>
      <c r="F25" s="9">
        <f t="shared" si="0"/>
        <v>45753.892139999996</v>
      </c>
      <c r="G25" s="8">
        <v>3814.7</v>
      </c>
      <c r="H25" s="8">
        <v>3057.3</v>
      </c>
      <c r="I25" s="9">
        <v>8667</v>
      </c>
      <c r="J25" s="23">
        <f t="shared" si="1"/>
        <v>0.98938356164383556</v>
      </c>
      <c r="K25" s="7">
        <v>12</v>
      </c>
      <c r="L25" s="8">
        <f t="shared" si="2"/>
        <v>125.35312915068492</v>
      </c>
      <c r="M25" s="8">
        <f t="shared" si="3"/>
        <v>126.69821291796468</v>
      </c>
    </row>
    <row r="26" spans="1:13" ht="15" customHeight="1" x14ac:dyDescent="0.3">
      <c r="A26" s="6" t="s">
        <v>42</v>
      </c>
      <c r="B26" s="6" t="s">
        <v>20</v>
      </c>
      <c r="C26" s="6" t="s">
        <v>21</v>
      </c>
      <c r="D26" s="6" t="s">
        <v>549</v>
      </c>
      <c r="E26" s="8">
        <v>7200</v>
      </c>
      <c r="F26" s="9">
        <f t="shared" si="0"/>
        <v>45286.559999999998</v>
      </c>
      <c r="G26" s="8">
        <v>1187.9000000000001</v>
      </c>
      <c r="H26" s="8">
        <v>229.9</v>
      </c>
      <c r="I26" s="9">
        <v>8736</v>
      </c>
      <c r="J26" s="23">
        <f t="shared" si="1"/>
        <v>0.99726027397260275</v>
      </c>
      <c r="K26" s="7">
        <v>12</v>
      </c>
      <c r="L26" s="8">
        <f t="shared" si="2"/>
        <v>124.07276712328766</v>
      </c>
      <c r="M26" s="8">
        <f t="shared" si="3"/>
        <v>124.41362637362637</v>
      </c>
    </row>
    <row r="27" spans="1:13" ht="15" customHeight="1" x14ac:dyDescent="0.3">
      <c r="A27" s="6" t="s">
        <v>43</v>
      </c>
      <c r="B27" s="6" t="s">
        <v>44</v>
      </c>
      <c r="C27" s="6" t="s">
        <v>45</v>
      </c>
      <c r="D27" s="6" t="s">
        <v>550</v>
      </c>
      <c r="E27" s="8">
        <v>7015.8</v>
      </c>
      <c r="F27" s="9">
        <f t="shared" si="0"/>
        <v>44127.978839999996</v>
      </c>
      <c r="G27" s="8">
        <v>1166.3</v>
      </c>
      <c r="H27" s="8">
        <v>205.3</v>
      </c>
      <c r="I27" s="9">
        <v>8489</v>
      </c>
      <c r="J27" s="23">
        <f t="shared" si="1"/>
        <v>0.96906392694063925</v>
      </c>
      <c r="K27" s="7">
        <v>12</v>
      </c>
      <c r="L27" s="8">
        <f t="shared" si="2"/>
        <v>120.89857216438355</v>
      </c>
      <c r="M27" s="8">
        <f t="shared" si="3"/>
        <v>124.75809779243727</v>
      </c>
    </row>
    <row r="28" spans="1:13" ht="15" customHeight="1" x14ac:dyDescent="0.3">
      <c r="A28" s="6" t="s">
        <v>46</v>
      </c>
      <c r="B28" s="6" t="s">
        <v>47</v>
      </c>
      <c r="C28" s="6" t="s">
        <v>48</v>
      </c>
      <c r="D28" s="6" t="s">
        <v>551</v>
      </c>
      <c r="E28" s="8">
        <v>6976.2</v>
      </c>
      <c r="F28" s="9">
        <f t="shared" si="0"/>
        <v>43878.902759999997</v>
      </c>
      <c r="G28" s="8">
        <v>2596.4</v>
      </c>
      <c r="H28" s="8">
        <v>180.8</v>
      </c>
      <c r="I28" s="9">
        <v>8399</v>
      </c>
      <c r="J28" s="23">
        <f t="shared" si="1"/>
        <v>0.9587899543378996</v>
      </c>
      <c r="K28" s="7">
        <v>12</v>
      </c>
      <c r="L28" s="8">
        <f t="shared" si="2"/>
        <v>120.21617194520547</v>
      </c>
      <c r="M28" s="8">
        <f t="shared" si="3"/>
        <v>125.38322017383021</v>
      </c>
    </row>
    <row r="29" spans="1:13" ht="15" customHeight="1" x14ac:dyDescent="0.3">
      <c r="A29" s="6" t="s">
        <v>440</v>
      </c>
      <c r="B29" s="6" t="s">
        <v>437</v>
      </c>
      <c r="C29" s="6" t="s">
        <v>438</v>
      </c>
      <c r="D29" s="6" t="s">
        <v>549</v>
      </c>
      <c r="E29" s="8">
        <v>6607.8</v>
      </c>
      <c r="F29" s="9">
        <f t="shared" si="0"/>
        <v>41561.740440000001</v>
      </c>
      <c r="G29" s="8">
        <v>1291.2</v>
      </c>
      <c r="H29" s="8">
        <v>124.9</v>
      </c>
      <c r="I29" s="9">
        <v>3662</v>
      </c>
      <c r="J29" s="23">
        <f t="shared" si="1"/>
        <v>0.41803652968036531</v>
      </c>
      <c r="K29" s="7">
        <v>5</v>
      </c>
      <c r="L29" s="8">
        <f t="shared" si="2"/>
        <v>113.86778202739727</v>
      </c>
      <c r="M29" s="8">
        <f t="shared" si="3"/>
        <v>272.38715744401964</v>
      </c>
    </row>
    <row r="30" spans="1:13" ht="15" customHeight="1" x14ac:dyDescent="0.3">
      <c r="A30" s="6" t="s">
        <v>49</v>
      </c>
      <c r="B30" s="6" t="s">
        <v>33</v>
      </c>
      <c r="C30" s="6" t="s">
        <v>34</v>
      </c>
      <c r="D30" s="6" t="s">
        <v>550</v>
      </c>
      <c r="E30" s="8">
        <v>6297.6</v>
      </c>
      <c r="F30" s="9">
        <f t="shared" si="0"/>
        <v>39610.644480000003</v>
      </c>
      <c r="G30" s="8">
        <v>3904</v>
      </c>
      <c r="H30" s="8">
        <v>250.6</v>
      </c>
      <c r="I30" s="9">
        <v>8234</v>
      </c>
      <c r="J30" s="23">
        <f t="shared" si="1"/>
        <v>0.93995433789954341</v>
      </c>
      <c r="K30" s="7">
        <v>12</v>
      </c>
      <c r="L30" s="8">
        <f t="shared" si="2"/>
        <v>108.52231364383563</v>
      </c>
      <c r="M30" s="8">
        <f t="shared" si="3"/>
        <v>115.45487825115377</v>
      </c>
    </row>
    <row r="31" spans="1:13" ht="15" customHeight="1" x14ac:dyDescent="0.3">
      <c r="A31" s="6" t="s">
        <v>50</v>
      </c>
      <c r="B31" s="6" t="s">
        <v>51</v>
      </c>
      <c r="C31" s="6" t="s">
        <v>52</v>
      </c>
      <c r="D31" s="6" t="s">
        <v>550</v>
      </c>
      <c r="E31" s="8">
        <v>6218.7</v>
      </c>
      <c r="F31" s="9">
        <f t="shared" si="0"/>
        <v>39114.379259999994</v>
      </c>
      <c r="G31" s="8">
        <v>1174.2</v>
      </c>
      <c r="H31" s="8">
        <v>4823.3</v>
      </c>
      <c r="I31" s="9">
        <v>8756</v>
      </c>
      <c r="J31" s="23">
        <f t="shared" si="1"/>
        <v>0.99954337899543377</v>
      </c>
      <c r="K31" s="7">
        <v>12</v>
      </c>
      <c r="L31" s="8">
        <f t="shared" si="2"/>
        <v>107.16268290410957</v>
      </c>
      <c r="M31" s="8">
        <f t="shared" si="3"/>
        <v>107.21163798994974</v>
      </c>
    </row>
    <row r="32" spans="1:13" ht="15" customHeight="1" x14ac:dyDescent="0.3">
      <c r="A32" s="6" t="s">
        <v>53</v>
      </c>
      <c r="B32" s="6" t="s">
        <v>33</v>
      </c>
      <c r="C32" s="6" t="s">
        <v>34</v>
      </c>
      <c r="D32" s="6" t="s">
        <v>550</v>
      </c>
      <c r="E32" s="8">
        <v>6006</v>
      </c>
      <c r="F32" s="9">
        <f t="shared" si="0"/>
        <v>37776.538799999995</v>
      </c>
      <c r="G32" s="8">
        <v>4598.6000000000004</v>
      </c>
      <c r="H32" s="8">
        <v>71.900000000000006</v>
      </c>
      <c r="I32" s="9">
        <v>7844</v>
      </c>
      <c r="J32" s="23">
        <f t="shared" si="1"/>
        <v>0.89543378995433787</v>
      </c>
      <c r="K32" s="7">
        <v>12</v>
      </c>
      <c r="L32" s="8">
        <f t="shared" si="2"/>
        <v>103.49736657534245</v>
      </c>
      <c r="M32" s="8">
        <f t="shared" si="3"/>
        <v>115.5834945436002</v>
      </c>
    </row>
    <row r="33" spans="1:13" ht="15" customHeight="1" x14ac:dyDescent="0.3">
      <c r="A33" s="6" t="s">
        <v>441</v>
      </c>
      <c r="B33" s="6" t="s">
        <v>437</v>
      </c>
      <c r="C33" s="6" t="s">
        <v>438</v>
      </c>
      <c r="D33" s="6" t="s">
        <v>549</v>
      </c>
      <c r="E33" s="8">
        <v>5897</v>
      </c>
      <c r="F33" s="9">
        <f t="shared" si="0"/>
        <v>37090.950599999996</v>
      </c>
      <c r="G33" s="8">
        <v>1050.9000000000001</v>
      </c>
      <c r="H33" s="8">
        <v>201.2</v>
      </c>
      <c r="I33" s="9">
        <v>5456</v>
      </c>
      <c r="J33" s="23">
        <f t="shared" si="1"/>
        <v>0.62283105022831053</v>
      </c>
      <c r="K33" s="7">
        <v>8</v>
      </c>
      <c r="L33" s="8">
        <f t="shared" si="2"/>
        <v>101.61904273972601</v>
      </c>
      <c r="M33" s="8">
        <f t="shared" si="3"/>
        <v>163.15667419354835</v>
      </c>
    </row>
    <row r="34" spans="1:13" ht="15" customHeight="1" x14ac:dyDescent="0.3">
      <c r="A34" s="6" t="s">
        <v>54</v>
      </c>
      <c r="B34" s="6" t="s">
        <v>55</v>
      </c>
      <c r="C34" s="6" t="s">
        <v>56</v>
      </c>
      <c r="D34" s="6" t="s">
        <v>549</v>
      </c>
      <c r="E34" s="8">
        <v>5852.2</v>
      </c>
      <c r="F34" s="9">
        <f t="shared" si="0"/>
        <v>36809.167559999994</v>
      </c>
      <c r="G34" s="8">
        <v>7513.2</v>
      </c>
      <c r="H34" s="8">
        <v>66.599999999999994</v>
      </c>
      <c r="I34" s="9">
        <v>8190</v>
      </c>
      <c r="J34" s="23">
        <f t="shared" si="1"/>
        <v>0.93493150684931503</v>
      </c>
      <c r="K34" s="7">
        <v>12</v>
      </c>
      <c r="L34" s="8">
        <f t="shared" si="2"/>
        <v>100.84703441095888</v>
      </c>
      <c r="M34" s="8">
        <f t="shared" si="3"/>
        <v>107.86569248351647</v>
      </c>
    </row>
    <row r="35" spans="1:13" ht="15" customHeight="1" x14ac:dyDescent="0.3">
      <c r="A35" s="6" t="s">
        <v>57</v>
      </c>
      <c r="B35" s="6" t="s">
        <v>36</v>
      </c>
      <c r="C35" s="6" t="s">
        <v>21</v>
      </c>
      <c r="D35" s="6" t="s">
        <v>550</v>
      </c>
      <c r="E35" s="8">
        <v>5846.6</v>
      </c>
      <c r="F35" s="9">
        <f t="shared" si="0"/>
        <v>36773.944680000001</v>
      </c>
      <c r="G35" s="8">
        <v>1558.1</v>
      </c>
      <c r="H35" s="8">
        <v>558.1</v>
      </c>
      <c r="I35" s="9">
        <v>8755</v>
      </c>
      <c r="J35" s="23">
        <f t="shared" si="1"/>
        <v>0.99942922374429222</v>
      </c>
      <c r="K35" s="7">
        <v>12</v>
      </c>
      <c r="L35" s="8">
        <f t="shared" si="2"/>
        <v>100.75053336986302</v>
      </c>
      <c r="M35" s="8">
        <f t="shared" si="3"/>
        <v>100.80807222387207</v>
      </c>
    </row>
    <row r="36" spans="1:13" ht="15" customHeight="1" x14ac:dyDescent="0.3">
      <c r="A36" s="6" t="s">
        <v>58</v>
      </c>
      <c r="B36" s="6" t="s">
        <v>59</v>
      </c>
      <c r="C36" s="6" t="s">
        <v>60</v>
      </c>
      <c r="D36" s="6" t="s">
        <v>550</v>
      </c>
      <c r="E36" s="8">
        <v>5704.4</v>
      </c>
      <c r="F36" s="9">
        <f t="shared" si="0"/>
        <v>35879.535119999993</v>
      </c>
      <c r="G36" s="8">
        <v>668.8</v>
      </c>
      <c r="H36" s="8">
        <v>1680.1</v>
      </c>
      <c r="I36" s="9">
        <v>8742</v>
      </c>
      <c r="J36" s="23">
        <f t="shared" si="1"/>
        <v>0.99794520547945209</v>
      </c>
      <c r="K36" s="7">
        <v>12</v>
      </c>
      <c r="L36" s="8">
        <f t="shared" si="2"/>
        <v>98.300096219178059</v>
      </c>
      <c r="M36" s="8">
        <f t="shared" si="3"/>
        <v>98.502498613589552</v>
      </c>
    </row>
    <row r="37" spans="1:13" ht="15" customHeight="1" x14ac:dyDescent="0.3">
      <c r="A37" s="6" t="s">
        <v>61</v>
      </c>
      <c r="B37" s="6" t="s">
        <v>62</v>
      </c>
      <c r="C37" s="6" t="s">
        <v>63</v>
      </c>
      <c r="D37" s="6" t="s">
        <v>549</v>
      </c>
      <c r="E37" s="8">
        <v>5597.3</v>
      </c>
      <c r="F37" s="9">
        <f t="shared" si="0"/>
        <v>35205.897539999998</v>
      </c>
      <c r="G37" s="8">
        <v>980.7</v>
      </c>
      <c r="H37" s="8">
        <v>241.6</v>
      </c>
      <c r="I37" s="9">
        <v>8318</v>
      </c>
      <c r="J37" s="23">
        <f t="shared" si="1"/>
        <v>0.94954337899543384</v>
      </c>
      <c r="K37" s="7">
        <v>12</v>
      </c>
      <c r="L37" s="8">
        <f t="shared" si="2"/>
        <v>96.454513808219176</v>
      </c>
      <c r="M37" s="8">
        <f t="shared" si="3"/>
        <v>101.57989191632603</v>
      </c>
    </row>
    <row r="38" spans="1:13" ht="15" customHeight="1" x14ac:dyDescent="0.3">
      <c r="A38" s="6" t="s">
        <v>64</v>
      </c>
      <c r="B38" s="6" t="s">
        <v>65</v>
      </c>
      <c r="C38" s="6" t="s">
        <v>39</v>
      </c>
      <c r="D38" s="6" t="s">
        <v>549</v>
      </c>
      <c r="E38" s="8">
        <v>5578.9</v>
      </c>
      <c r="F38" s="9">
        <f t="shared" si="0"/>
        <v>35090.165219999995</v>
      </c>
      <c r="G38" s="8">
        <v>1299.2</v>
      </c>
      <c r="H38" s="8">
        <v>574.79999999999995</v>
      </c>
      <c r="I38" s="9">
        <v>8736</v>
      </c>
      <c r="J38" s="23">
        <f t="shared" si="1"/>
        <v>0.99726027397260275</v>
      </c>
      <c r="K38" s="7">
        <v>12</v>
      </c>
      <c r="L38" s="8">
        <f t="shared" si="2"/>
        <v>96.137438958904099</v>
      </c>
      <c r="M38" s="8">
        <f t="shared" si="3"/>
        <v>96.401552802197784</v>
      </c>
    </row>
    <row r="39" spans="1:13" ht="15" customHeight="1" x14ac:dyDescent="0.3">
      <c r="A39" s="6" t="s">
        <v>66</v>
      </c>
      <c r="B39" s="6" t="s">
        <v>62</v>
      </c>
      <c r="C39" s="6" t="s">
        <v>63</v>
      </c>
      <c r="D39" s="6" t="s">
        <v>549</v>
      </c>
      <c r="E39" s="8">
        <v>5491.2</v>
      </c>
      <c r="F39" s="9">
        <f t="shared" si="0"/>
        <v>34538.549759999994</v>
      </c>
      <c r="G39" s="8">
        <v>1142.8</v>
      </c>
      <c r="H39" s="8">
        <v>180.4</v>
      </c>
      <c r="I39" s="9">
        <v>8175</v>
      </c>
      <c r="J39" s="23">
        <f t="shared" si="1"/>
        <v>0.93321917808219179</v>
      </c>
      <c r="K39" s="7">
        <v>12</v>
      </c>
      <c r="L39" s="8">
        <f t="shared" si="2"/>
        <v>94.626163726027386</v>
      </c>
      <c r="M39" s="8">
        <f t="shared" si="3"/>
        <v>101.3975772770642</v>
      </c>
    </row>
    <row r="40" spans="1:13" ht="15" customHeight="1" x14ac:dyDescent="0.3">
      <c r="A40" s="6" t="s">
        <v>369</v>
      </c>
      <c r="B40" s="6" t="s">
        <v>362</v>
      </c>
      <c r="C40" s="6" t="s">
        <v>363</v>
      </c>
      <c r="D40" s="6" t="s">
        <v>549</v>
      </c>
      <c r="E40" s="8">
        <v>5476.9</v>
      </c>
      <c r="F40" s="9">
        <f t="shared" si="0"/>
        <v>34448.605619999995</v>
      </c>
      <c r="G40" s="8">
        <v>1600.4</v>
      </c>
      <c r="H40" s="8">
        <v>95.6</v>
      </c>
      <c r="I40" s="9">
        <v>7004</v>
      </c>
      <c r="J40" s="23">
        <f t="shared" si="1"/>
        <v>0.79954337899543382</v>
      </c>
      <c r="K40" s="7">
        <v>10</v>
      </c>
      <c r="L40" s="8">
        <f t="shared" si="2"/>
        <v>94.379741424657524</v>
      </c>
      <c r="M40" s="8">
        <f t="shared" si="3"/>
        <v>118.04205238149628</v>
      </c>
    </row>
    <row r="41" spans="1:13" ht="15" customHeight="1" x14ac:dyDescent="0.3">
      <c r="A41" s="6" t="s">
        <v>442</v>
      </c>
      <c r="B41" s="6" t="s">
        <v>26</v>
      </c>
      <c r="C41" s="6" t="s">
        <v>27</v>
      </c>
      <c r="D41" s="6" t="s">
        <v>549</v>
      </c>
      <c r="E41" s="8">
        <v>5467.4</v>
      </c>
      <c r="F41" s="9">
        <f t="shared" si="0"/>
        <v>34388.852519999993</v>
      </c>
      <c r="G41" s="8">
        <v>14025.7</v>
      </c>
      <c r="H41" s="8">
        <v>808.2</v>
      </c>
      <c r="I41" s="9">
        <v>6191</v>
      </c>
      <c r="J41" s="23">
        <f t="shared" si="1"/>
        <v>0.70673515981735158</v>
      </c>
      <c r="K41" s="7">
        <v>9</v>
      </c>
      <c r="L41" s="8">
        <f t="shared" si="2"/>
        <v>94.216034301369845</v>
      </c>
      <c r="M41" s="8">
        <f t="shared" si="3"/>
        <v>133.31165570667096</v>
      </c>
    </row>
    <row r="42" spans="1:13" ht="15" customHeight="1" x14ac:dyDescent="0.3">
      <c r="A42" s="6" t="s">
        <v>443</v>
      </c>
      <c r="B42" s="6" t="s">
        <v>392</v>
      </c>
      <c r="C42" s="6" t="s">
        <v>393</v>
      </c>
      <c r="D42" s="6" t="s">
        <v>549</v>
      </c>
      <c r="E42" s="8">
        <v>5379</v>
      </c>
      <c r="F42" s="9">
        <f t="shared" si="0"/>
        <v>33832.834199999998</v>
      </c>
      <c r="G42" s="8">
        <v>1038.7</v>
      </c>
      <c r="H42" s="8">
        <v>88.6</v>
      </c>
      <c r="I42" s="9">
        <v>3622</v>
      </c>
      <c r="J42" s="23">
        <f t="shared" si="1"/>
        <v>0.41347031963470321</v>
      </c>
      <c r="K42" s="7">
        <v>5</v>
      </c>
      <c r="L42" s="8">
        <f t="shared" si="2"/>
        <v>92.692696438356151</v>
      </c>
      <c r="M42" s="8">
        <f t="shared" si="3"/>
        <v>224.18222551076752</v>
      </c>
    </row>
    <row r="43" spans="1:13" ht="15" customHeight="1" x14ac:dyDescent="0.3">
      <c r="A43" s="6" t="s">
        <v>444</v>
      </c>
      <c r="B43" s="6" t="s">
        <v>386</v>
      </c>
      <c r="C43" s="6" t="s">
        <v>387</v>
      </c>
      <c r="D43" s="6" t="s">
        <v>549</v>
      </c>
      <c r="E43" s="8">
        <v>5217.7</v>
      </c>
      <c r="F43" s="9">
        <f t="shared" si="0"/>
        <v>32818.28946</v>
      </c>
      <c r="G43" s="8">
        <v>7780.8</v>
      </c>
      <c r="H43" s="8">
        <v>397.9</v>
      </c>
      <c r="I43" s="9">
        <v>3543</v>
      </c>
      <c r="J43" s="23">
        <f t="shared" si="1"/>
        <v>0.40445205479452057</v>
      </c>
      <c r="K43" s="7">
        <v>5</v>
      </c>
      <c r="L43" s="8">
        <f t="shared" si="2"/>
        <v>89.913121808219174</v>
      </c>
      <c r="M43" s="8">
        <f t="shared" si="3"/>
        <v>222.30848067739203</v>
      </c>
    </row>
    <row r="44" spans="1:13" ht="15" customHeight="1" x14ac:dyDescent="0.3">
      <c r="A44" s="6" t="s">
        <v>67</v>
      </c>
      <c r="B44" s="6" t="s">
        <v>68</v>
      </c>
      <c r="C44" s="6" t="s">
        <v>69</v>
      </c>
      <c r="D44" s="6" t="s">
        <v>550</v>
      </c>
      <c r="E44" s="8">
        <v>5186</v>
      </c>
      <c r="F44" s="9">
        <f t="shared" si="0"/>
        <v>32618.902799999996</v>
      </c>
      <c r="G44" s="8">
        <v>1029.2</v>
      </c>
      <c r="H44" s="8">
        <v>2024.9</v>
      </c>
      <c r="I44" s="9">
        <v>8715</v>
      </c>
      <c r="J44" s="23">
        <f t="shared" si="1"/>
        <v>0.99486301369863017</v>
      </c>
      <c r="K44" s="7">
        <v>12</v>
      </c>
      <c r="L44" s="8">
        <f t="shared" si="2"/>
        <v>89.366856986301357</v>
      </c>
      <c r="M44" s="8">
        <f t="shared" si="3"/>
        <v>89.828303752151456</v>
      </c>
    </row>
    <row r="45" spans="1:13" ht="15" customHeight="1" x14ac:dyDescent="0.3">
      <c r="A45" s="6" t="s">
        <v>70</v>
      </c>
      <c r="B45" s="6" t="s">
        <v>71</v>
      </c>
      <c r="C45" s="6" t="s">
        <v>72</v>
      </c>
      <c r="D45" s="6" t="s">
        <v>549</v>
      </c>
      <c r="E45" s="8">
        <v>5157.5</v>
      </c>
      <c r="F45" s="9">
        <f t="shared" si="0"/>
        <v>32439.643499999998</v>
      </c>
      <c r="G45" s="8">
        <v>26179.7</v>
      </c>
      <c r="H45" s="8">
        <v>565.9</v>
      </c>
      <c r="I45" s="9">
        <v>8524</v>
      </c>
      <c r="J45" s="23">
        <f t="shared" si="1"/>
        <v>0.97305936073059363</v>
      </c>
      <c r="K45" s="7">
        <v>12</v>
      </c>
      <c r="L45" s="8">
        <f t="shared" si="2"/>
        <v>88.875735616438348</v>
      </c>
      <c r="M45" s="8">
        <f t="shared" si="3"/>
        <v>91.336396527451896</v>
      </c>
    </row>
    <row r="46" spans="1:13" ht="15" customHeight="1" x14ac:dyDescent="0.3">
      <c r="A46" s="6" t="s">
        <v>73</v>
      </c>
      <c r="B46" s="6" t="s">
        <v>38</v>
      </c>
      <c r="C46" s="6" t="s">
        <v>39</v>
      </c>
      <c r="D46" s="6" t="s">
        <v>550</v>
      </c>
      <c r="E46" s="8">
        <v>5134.8999999999996</v>
      </c>
      <c r="F46" s="9">
        <f t="shared" si="0"/>
        <v>32297.494019999995</v>
      </c>
      <c r="G46" s="8">
        <v>3551.3</v>
      </c>
      <c r="H46" s="8">
        <v>658.9</v>
      </c>
      <c r="I46" s="9">
        <v>8721</v>
      </c>
      <c r="J46" s="23">
        <f t="shared" si="1"/>
        <v>0.9955479452054794</v>
      </c>
      <c r="K46" s="7">
        <v>12</v>
      </c>
      <c r="L46" s="8">
        <f t="shared" si="2"/>
        <v>88.486284986301357</v>
      </c>
      <c r="M46" s="8">
        <f t="shared" si="3"/>
        <v>88.881992487100092</v>
      </c>
    </row>
    <row r="47" spans="1:13" ht="15" customHeight="1" x14ac:dyDescent="0.3">
      <c r="A47" s="6" t="s">
        <v>74</v>
      </c>
      <c r="B47" s="6" t="s">
        <v>16</v>
      </c>
      <c r="C47" s="6" t="s">
        <v>17</v>
      </c>
      <c r="D47" s="6" t="s">
        <v>550</v>
      </c>
      <c r="E47" s="8">
        <v>5121.8</v>
      </c>
      <c r="F47" s="9">
        <f t="shared" si="0"/>
        <v>32215.09764</v>
      </c>
      <c r="G47" s="8">
        <v>11618</v>
      </c>
      <c r="H47" s="8">
        <v>4199.2</v>
      </c>
      <c r="I47" s="9">
        <v>8633</v>
      </c>
      <c r="J47" s="23">
        <f t="shared" si="1"/>
        <v>0.98550228310502286</v>
      </c>
      <c r="K47" s="7">
        <v>12</v>
      </c>
      <c r="L47" s="8">
        <f t="shared" si="2"/>
        <v>88.260541479452058</v>
      </c>
      <c r="M47" s="8">
        <f t="shared" si="3"/>
        <v>89.558941661068005</v>
      </c>
    </row>
    <row r="48" spans="1:13" ht="15" customHeight="1" x14ac:dyDescent="0.3">
      <c r="A48" s="6" t="s">
        <v>75</v>
      </c>
      <c r="B48" s="6" t="s">
        <v>29</v>
      </c>
      <c r="C48" s="6" t="s">
        <v>30</v>
      </c>
      <c r="D48" s="6" t="s">
        <v>550</v>
      </c>
      <c r="E48" s="8">
        <v>5075.7</v>
      </c>
      <c r="F48" s="9">
        <f t="shared" si="0"/>
        <v>31925.137859999995</v>
      </c>
      <c r="G48" s="8">
        <v>679.7</v>
      </c>
      <c r="H48" s="8">
        <v>165.7</v>
      </c>
      <c r="I48" s="9">
        <v>8746</v>
      </c>
      <c r="J48" s="23">
        <f t="shared" si="1"/>
        <v>0.99840182648401832</v>
      </c>
      <c r="K48" s="7">
        <v>12</v>
      </c>
      <c r="L48" s="8">
        <f t="shared" si="2"/>
        <v>87.466131123287653</v>
      </c>
      <c r="M48" s="8">
        <f t="shared" si="3"/>
        <v>87.606140937571439</v>
      </c>
    </row>
    <row r="49" spans="1:13" ht="15" customHeight="1" x14ac:dyDescent="0.3">
      <c r="A49" s="6" t="s">
        <v>76</v>
      </c>
      <c r="B49" s="6" t="s">
        <v>77</v>
      </c>
      <c r="C49" s="6" t="s">
        <v>78</v>
      </c>
      <c r="D49" s="6" t="s">
        <v>550</v>
      </c>
      <c r="E49" s="8">
        <v>4936.8</v>
      </c>
      <c r="F49" s="9">
        <f t="shared" si="0"/>
        <v>31051.484639999999</v>
      </c>
      <c r="G49" s="8">
        <v>1945.9</v>
      </c>
      <c r="H49" s="8">
        <v>1001.4</v>
      </c>
      <c r="I49" s="9">
        <v>8446</v>
      </c>
      <c r="J49" s="23">
        <f t="shared" si="1"/>
        <v>0.96415525114155254</v>
      </c>
      <c r="K49" s="7">
        <v>12</v>
      </c>
      <c r="L49" s="8">
        <f t="shared" si="2"/>
        <v>85.07256065753424</v>
      </c>
      <c r="M49" s="8">
        <f t="shared" si="3"/>
        <v>88.235334046886095</v>
      </c>
    </row>
    <row r="50" spans="1:13" ht="15" customHeight="1" x14ac:dyDescent="0.3">
      <c r="A50" s="6" t="s">
        <v>445</v>
      </c>
      <c r="B50" s="6" t="s">
        <v>392</v>
      </c>
      <c r="C50" s="6" t="s">
        <v>393</v>
      </c>
      <c r="D50" s="6" t="s">
        <v>549</v>
      </c>
      <c r="E50" s="8">
        <v>4933.3999999999996</v>
      </c>
      <c r="F50" s="9">
        <f t="shared" si="0"/>
        <v>31030.099319999998</v>
      </c>
      <c r="G50" s="8">
        <v>913</v>
      </c>
      <c r="H50" s="8">
        <v>66.599999999999994</v>
      </c>
      <c r="I50" s="9">
        <v>3270</v>
      </c>
      <c r="J50" s="23">
        <f t="shared" si="1"/>
        <v>0.37328767123287671</v>
      </c>
      <c r="K50" s="7">
        <v>5</v>
      </c>
      <c r="L50" s="8">
        <f t="shared" si="2"/>
        <v>85.01397073972602</v>
      </c>
      <c r="M50" s="8">
        <f t="shared" si="3"/>
        <v>227.74384822018348</v>
      </c>
    </row>
    <row r="51" spans="1:13" ht="15" customHeight="1" x14ac:dyDescent="0.3">
      <c r="A51" s="6" t="s">
        <v>79</v>
      </c>
      <c r="B51" s="6" t="s">
        <v>80</v>
      </c>
      <c r="C51" s="6" t="s">
        <v>81</v>
      </c>
      <c r="D51" s="6" t="s">
        <v>550</v>
      </c>
      <c r="E51" s="8">
        <v>4891</v>
      </c>
      <c r="F51" s="9">
        <f t="shared" si="0"/>
        <v>30763.411799999998</v>
      </c>
      <c r="G51" s="8">
        <v>2951.1</v>
      </c>
      <c r="H51" s="8">
        <v>812.3</v>
      </c>
      <c r="I51" s="9">
        <v>8703</v>
      </c>
      <c r="J51" s="23">
        <f t="shared" si="1"/>
        <v>0.99349315068493149</v>
      </c>
      <c r="K51" s="7">
        <v>12</v>
      </c>
      <c r="L51" s="8">
        <f t="shared" si="2"/>
        <v>84.283319999999989</v>
      </c>
      <c r="M51" s="8">
        <f t="shared" si="3"/>
        <v>84.835330713547052</v>
      </c>
    </row>
    <row r="52" spans="1:13" ht="15" customHeight="1" x14ac:dyDescent="0.3">
      <c r="A52" s="6" t="s">
        <v>82</v>
      </c>
      <c r="B52" s="6" t="s">
        <v>33</v>
      </c>
      <c r="C52" s="6" t="s">
        <v>34</v>
      </c>
      <c r="D52" s="6" t="s">
        <v>550</v>
      </c>
      <c r="E52" s="8">
        <v>4858.3</v>
      </c>
      <c r="F52" s="9">
        <f t="shared" si="0"/>
        <v>30557.735339999999</v>
      </c>
      <c r="G52" s="8">
        <v>34297.9</v>
      </c>
      <c r="H52" s="8">
        <v>16.2</v>
      </c>
      <c r="I52" s="9">
        <v>7143</v>
      </c>
      <c r="J52" s="23">
        <f t="shared" si="1"/>
        <v>0.81541095890410964</v>
      </c>
      <c r="K52" s="7">
        <v>12</v>
      </c>
      <c r="L52" s="8">
        <f t="shared" si="2"/>
        <v>83.719822849315065</v>
      </c>
      <c r="M52" s="8">
        <f t="shared" si="3"/>
        <v>102.67193730365392</v>
      </c>
    </row>
    <row r="53" spans="1:13" ht="15" customHeight="1" x14ac:dyDescent="0.3">
      <c r="A53" s="6" t="s">
        <v>83</v>
      </c>
      <c r="B53" s="6" t="s">
        <v>44</v>
      </c>
      <c r="C53" s="6" t="s">
        <v>45</v>
      </c>
      <c r="D53" s="6" t="s">
        <v>550</v>
      </c>
      <c r="E53" s="8">
        <v>4847</v>
      </c>
      <c r="F53" s="9">
        <f t="shared" si="0"/>
        <v>30486.660599999999</v>
      </c>
      <c r="G53" s="8">
        <v>1399.7</v>
      </c>
      <c r="H53" s="8">
        <v>148.19999999999999</v>
      </c>
      <c r="I53" s="9">
        <v>8750</v>
      </c>
      <c r="J53" s="23">
        <f t="shared" si="1"/>
        <v>0.99885844748858443</v>
      </c>
      <c r="K53" s="7">
        <v>12</v>
      </c>
      <c r="L53" s="8">
        <f t="shared" si="2"/>
        <v>83.525097534246569</v>
      </c>
      <c r="M53" s="8">
        <f t="shared" si="3"/>
        <v>83.620554788571425</v>
      </c>
    </row>
    <row r="54" spans="1:13" ht="15" customHeight="1" x14ac:dyDescent="0.3">
      <c r="A54" s="6" t="s">
        <v>446</v>
      </c>
      <c r="B54" s="6" t="s">
        <v>392</v>
      </c>
      <c r="C54" s="6" t="s">
        <v>393</v>
      </c>
      <c r="D54" s="6" t="s">
        <v>549</v>
      </c>
      <c r="E54" s="8">
        <v>4817</v>
      </c>
      <c r="F54" s="9">
        <f t="shared" si="0"/>
        <v>30297.9666</v>
      </c>
      <c r="G54" s="8">
        <v>862</v>
      </c>
      <c r="H54" s="8">
        <v>46.7</v>
      </c>
      <c r="I54" s="9">
        <v>3001</v>
      </c>
      <c r="J54" s="23">
        <f t="shared" si="1"/>
        <v>0.34257990867579907</v>
      </c>
      <c r="K54" s="7">
        <v>5</v>
      </c>
      <c r="L54" s="8">
        <f t="shared" si="2"/>
        <v>83.00812767123287</v>
      </c>
      <c r="M54" s="8">
        <f t="shared" si="3"/>
        <v>242.30296514495168</v>
      </c>
    </row>
    <row r="55" spans="1:13" ht="15" customHeight="1" x14ac:dyDescent="0.3">
      <c r="A55" s="6" t="s">
        <v>84</v>
      </c>
      <c r="B55" s="6" t="s">
        <v>85</v>
      </c>
      <c r="C55" s="6" t="s">
        <v>86</v>
      </c>
      <c r="D55" s="6" t="s">
        <v>549</v>
      </c>
      <c r="E55" s="8">
        <v>4682.8999999999996</v>
      </c>
      <c r="F55" s="9">
        <f t="shared" si="0"/>
        <v>29454.504419999997</v>
      </c>
      <c r="G55" s="8">
        <v>2206.6</v>
      </c>
      <c r="H55" s="8">
        <v>1214.9000000000001</v>
      </c>
      <c r="I55" s="9">
        <v>8484</v>
      </c>
      <c r="J55" s="23">
        <f t="shared" si="1"/>
        <v>0.96849315068493147</v>
      </c>
      <c r="K55" s="7">
        <v>12</v>
      </c>
      <c r="L55" s="8">
        <f t="shared" si="2"/>
        <v>80.697272383561639</v>
      </c>
      <c r="M55" s="8">
        <f t="shared" si="3"/>
        <v>83.32250189533238</v>
      </c>
    </row>
    <row r="56" spans="1:13" ht="15" customHeight="1" x14ac:dyDescent="0.3">
      <c r="A56" s="6" t="s">
        <v>87</v>
      </c>
      <c r="B56" s="6" t="s">
        <v>36</v>
      </c>
      <c r="C56" s="6" t="s">
        <v>21</v>
      </c>
      <c r="D56" s="6" t="s">
        <v>550</v>
      </c>
      <c r="E56" s="8">
        <v>4659</v>
      </c>
      <c r="F56" s="9">
        <f t="shared" si="0"/>
        <v>29304.178199999998</v>
      </c>
      <c r="G56" s="8">
        <v>993.6</v>
      </c>
      <c r="H56" s="8">
        <v>957.4</v>
      </c>
      <c r="I56" s="9">
        <v>8733</v>
      </c>
      <c r="J56" s="23">
        <f t="shared" si="1"/>
        <v>0.99691780821917808</v>
      </c>
      <c r="K56" s="7">
        <v>12</v>
      </c>
      <c r="L56" s="8">
        <f t="shared" si="2"/>
        <v>80.285419726027399</v>
      </c>
      <c r="M56" s="8">
        <f t="shared" si="3"/>
        <v>80.533639848849191</v>
      </c>
    </row>
    <row r="57" spans="1:13" ht="15" customHeight="1" x14ac:dyDescent="0.3">
      <c r="A57" s="6" t="s">
        <v>88</v>
      </c>
      <c r="B57" s="6" t="s">
        <v>89</v>
      </c>
      <c r="C57" s="6" t="s">
        <v>90</v>
      </c>
      <c r="D57" s="6" t="s">
        <v>550</v>
      </c>
      <c r="E57" s="8">
        <v>4642.3999999999996</v>
      </c>
      <c r="F57" s="9">
        <f t="shared" si="0"/>
        <v>29199.767519999998</v>
      </c>
      <c r="G57" s="8">
        <v>1061.8</v>
      </c>
      <c r="H57" s="8">
        <v>816.2</v>
      </c>
      <c r="I57" s="9">
        <v>8552</v>
      </c>
      <c r="J57" s="23">
        <f t="shared" si="1"/>
        <v>0.9762557077625571</v>
      </c>
      <c r="K57" s="7">
        <v>12</v>
      </c>
      <c r="L57" s="8">
        <f t="shared" si="2"/>
        <v>79.999363068493139</v>
      </c>
      <c r="M57" s="8">
        <f t="shared" si="3"/>
        <v>81.945091262862491</v>
      </c>
    </row>
    <row r="58" spans="1:13" ht="15" customHeight="1" x14ac:dyDescent="0.3">
      <c r="A58" s="6" t="s">
        <v>91</v>
      </c>
      <c r="B58" s="6" t="s">
        <v>85</v>
      </c>
      <c r="C58" s="6" t="s">
        <v>86</v>
      </c>
      <c r="D58" s="6" t="s">
        <v>549</v>
      </c>
      <c r="E58" s="8">
        <v>4550.6000000000004</v>
      </c>
      <c r="F58" s="9">
        <f t="shared" si="0"/>
        <v>28622.363880000001</v>
      </c>
      <c r="G58" s="8">
        <v>1689</v>
      </c>
      <c r="H58" s="8">
        <v>1052.8</v>
      </c>
      <c r="I58" s="9">
        <v>8569</v>
      </c>
      <c r="J58" s="23">
        <f t="shared" si="1"/>
        <v>0.97819634703196345</v>
      </c>
      <c r="K58" s="7">
        <v>12</v>
      </c>
      <c r="L58" s="8">
        <f t="shared" si="2"/>
        <v>78.417435287671239</v>
      </c>
      <c r="M58" s="8">
        <f t="shared" si="3"/>
        <v>80.165332374839537</v>
      </c>
    </row>
    <row r="59" spans="1:13" ht="15" customHeight="1" x14ac:dyDescent="0.3">
      <c r="A59" s="6" t="s">
        <v>92</v>
      </c>
      <c r="B59" s="6" t="s">
        <v>51</v>
      </c>
      <c r="C59" s="6" t="s">
        <v>52</v>
      </c>
      <c r="D59" s="6" t="s">
        <v>550</v>
      </c>
      <c r="E59" s="8">
        <v>4540.3</v>
      </c>
      <c r="F59" s="9">
        <f t="shared" si="0"/>
        <v>28557.578939999999</v>
      </c>
      <c r="G59" s="8">
        <v>1309</v>
      </c>
      <c r="H59" s="8">
        <v>5665.6</v>
      </c>
      <c r="I59" s="9">
        <v>8729</v>
      </c>
      <c r="J59" s="23">
        <f t="shared" si="1"/>
        <v>0.99646118721461185</v>
      </c>
      <c r="K59" s="7">
        <v>12</v>
      </c>
      <c r="L59" s="8">
        <f t="shared" si="2"/>
        <v>78.239942301369865</v>
      </c>
      <c r="M59" s="8">
        <f t="shared" si="3"/>
        <v>78.517802103333722</v>
      </c>
    </row>
    <row r="60" spans="1:13" ht="15" customHeight="1" x14ac:dyDescent="0.3">
      <c r="A60" s="6" t="s">
        <v>93</v>
      </c>
      <c r="B60" s="6" t="s">
        <v>85</v>
      </c>
      <c r="C60" s="6" t="s">
        <v>86</v>
      </c>
      <c r="D60" s="6" t="s">
        <v>549</v>
      </c>
      <c r="E60" s="8">
        <v>4257.8999999999996</v>
      </c>
      <c r="F60" s="9">
        <f t="shared" si="0"/>
        <v>26781.339419999997</v>
      </c>
      <c r="G60" s="8">
        <v>1821.5</v>
      </c>
      <c r="H60" s="8">
        <v>1914.7</v>
      </c>
      <c r="I60" s="9">
        <v>8452</v>
      </c>
      <c r="J60" s="23">
        <f t="shared" si="1"/>
        <v>0.96484018264840188</v>
      </c>
      <c r="K60" s="7">
        <v>12</v>
      </c>
      <c r="L60" s="8">
        <f t="shared" si="2"/>
        <v>73.373532657534241</v>
      </c>
      <c r="M60" s="8">
        <f t="shared" si="3"/>
        <v>76.04734336015143</v>
      </c>
    </row>
    <row r="61" spans="1:13" ht="15" customHeight="1" x14ac:dyDescent="0.3">
      <c r="A61" s="6" t="s">
        <v>447</v>
      </c>
      <c r="B61" s="6" t="s">
        <v>392</v>
      </c>
      <c r="C61" s="6" t="s">
        <v>393</v>
      </c>
      <c r="D61" s="6" t="s">
        <v>549</v>
      </c>
      <c r="E61" s="8">
        <v>4250.2</v>
      </c>
      <c r="F61" s="9">
        <f t="shared" si="0"/>
        <v>26732.907959999997</v>
      </c>
      <c r="G61" s="8">
        <v>1042.5999999999999</v>
      </c>
      <c r="H61" s="8">
        <v>66.599999999999994</v>
      </c>
      <c r="I61" s="9">
        <v>3165</v>
      </c>
      <c r="J61" s="23">
        <f t="shared" si="1"/>
        <v>0.3613013698630137</v>
      </c>
      <c r="K61" s="7">
        <v>5</v>
      </c>
      <c r="L61" s="8">
        <f t="shared" si="2"/>
        <v>73.240843726027393</v>
      </c>
      <c r="M61" s="8">
        <f t="shared" si="3"/>
        <v>202.71399400947865</v>
      </c>
    </row>
    <row r="62" spans="1:13" ht="15" customHeight="1" x14ac:dyDescent="0.3">
      <c r="A62" s="6" t="s">
        <v>448</v>
      </c>
      <c r="B62" s="6" t="s">
        <v>437</v>
      </c>
      <c r="C62" s="6" t="s">
        <v>438</v>
      </c>
      <c r="D62" s="6" t="s">
        <v>549</v>
      </c>
      <c r="E62" s="8">
        <v>4245.8</v>
      </c>
      <c r="F62" s="9">
        <f t="shared" si="0"/>
        <v>26705.232840000001</v>
      </c>
      <c r="G62" s="8">
        <v>908.8</v>
      </c>
      <c r="H62" s="8">
        <v>84.2</v>
      </c>
      <c r="I62" s="9">
        <v>3176</v>
      </c>
      <c r="J62" s="23">
        <f t="shared" si="1"/>
        <v>0.36255707762557077</v>
      </c>
      <c r="K62" s="7">
        <v>5</v>
      </c>
      <c r="L62" s="8">
        <f t="shared" si="2"/>
        <v>73.165021479452051</v>
      </c>
      <c r="M62" s="8">
        <f t="shared" si="3"/>
        <v>201.80276705289671</v>
      </c>
    </row>
    <row r="63" spans="1:13" ht="15" customHeight="1" x14ac:dyDescent="0.3">
      <c r="A63" s="6" t="s">
        <v>449</v>
      </c>
      <c r="B63" s="6" t="s">
        <v>26</v>
      </c>
      <c r="C63" s="6" t="s">
        <v>27</v>
      </c>
      <c r="D63" s="6" t="s">
        <v>549</v>
      </c>
      <c r="E63" s="8">
        <v>4234.3999999999996</v>
      </c>
      <c r="F63" s="9">
        <f t="shared" si="0"/>
        <v>26633.529119999996</v>
      </c>
      <c r="G63" s="8">
        <v>5587.3</v>
      </c>
      <c r="H63" s="8">
        <v>646.6</v>
      </c>
      <c r="I63" s="9">
        <v>6274</v>
      </c>
      <c r="J63" s="23">
        <f t="shared" si="1"/>
        <v>0.71621004566210045</v>
      </c>
      <c r="K63" s="7">
        <v>9</v>
      </c>
      <c r="L63" s="8">
        <f t="shared" si="2"/>
        <v>72.968572931506841</v>
      </c>
      <c r="M63" s="8">
        <f t="shared" si="3"/>
        <v>101.88152675804906</v>
      </c>
    </row>
    <row r="64" spans="1:13" ht="15" customHeight="1" x14ac:dyDescent="0.3">
      <c r="A64" s="6" t="s">
        <v>391</v>
      </c>
      <c r="B64" s="6" t="s">
        <v>392</v>
      </c>
      <c r="C64" s="6" t="s">
        <v>393</v>
      </c>
      <c r="D64" s="6" t="s">
        <v>549</v>
      </c>
      <c r="E64" s="8">
        <v>4084</v>
      </c>
      <c r="F64" s="9">
        <f t="shared" si="0"/>
        <v>25687.5432</v>
      </c>
      <c r="G64" s="8">
        <v>332.1</v>
      </c>
      <c r="H64" s="8">
        <v>202.9</v>
      </c>
      <c r="I64" s="9">
        <v>7949</v>
      </c>
      <c r="J64" s="23">
        <f t="shared" si="1"/>
        <v>0.90742009132420087</v>
      </c>
      <c r="K64" s="7">
        <v>12</v>
      </c>
      <c r="L64" s="8">
        <f t="shared" si="2"/>
        <v>70.376830684931505</v>
      </c>
      <c r="M64" s="8">
        <f t="shared" si="3"/>
        <v>77.557055830922138</v>
      </c>
    </row>
    <row r="65" spans="1:13" ht="15" customHeight="1" x14ac:dyDescent="0.3">
      <c r="A65" s="6" t="s">
        <v>395</v>
      </c>
      <c r="B65" s="6" t="s">
        <v>392</v>
      </c>
      <c r="C65" s="6" t="s">
        <v>393</v>
      </c>
      <c r="D65" s="6" t="s">
        <v>549</v>
      </c>
      <c r="E65" s="8">
        <v>3946.1</v>
      </c>
      <c r="F65" s="9">
        <f t="shared" si="0"/>
        <v>24820.179779999999</v>
      </c>
      <c r="G65" s="8">
        <v>778.7</v>
      </c>
      <c r="H65" s="8">
        <v>260.89999999999998</v>
      </c>
      <c r="I65" s="9">
        <v>7578</v>
      </c>
      <c r="J65" s="23">
        <f t="shared" si="1"/>
        <v>0.8650684931506849</v>
      </c>
      <c r="K65" s="7">
        <v>12</v>
      </c>
      <c r="L65" s="8">
        <f t="shared" si="2"/>
        <v>68.0004925479452</v>
      </c>
      <c r="M65" s="8">
        <f t="shared" si="3"/>
        <v>78.60706185273159</v>
      </c>
    </row>
    <row r="66" spans="1:13" ht="15" customHeight="1" x14ac:dyDescent="0.3">
      <c r="A66" s="6" t="s">
        <v>94</v>
      </c>
      <c r="B66" s="6" t="s">
        <v>95</v>
      </c>
      <c r="C66" s="6" t="s">
        <v>96</v>
      </c>
      <c r="D66" s="6" t="s">
        <v>550</v>
      </c>
      <c r="E66" s="8">
        <v>3888.8</v>
      </c>
      <c r="F66" s="9">
        <f t="shared" si="0"/>
        <v>24459.774239999999</v>
      </c>
      <c r="G66" s="8">
        <v>1045.7</v>
      </c>
      <c r="H66" s="8">
        <v>2049.1999999999998</v>
      </c>
      <c r="I66" s="9">
        <v>8759</v>
      </c>
      <c r="J66" s="23">
        <f t="shared" si="1"/>
        <v>0.99988584474885844</v>
      </c>
      <c r="K66" s="7">
        <v>12</v>
      </c>
      <c r="L66" s="8">
        <f t="shared" si="2"/>
        <v>67.01308010958904</v>
      </c>
      <c r="M66" s="8">
        <f t="shared" si="3"/>
        <v>67.020730877954108</v>
      </c>
    </row>
    <row r="67" spans="1:13" ht="15" customHeight="1" x14ac:dyDescent="0.3">
      <c r="A67" s="6" t="s">
        <v>97</v>
      </c>
      <c r="B67" s="6" t="s">
        <v>85</v>
      </c>
      <c r="C67" s="6" t="s">
        <v>86</v>
      </c>
      <c r="D67" s="6" t="s">
        <v>549</v>
      </c>
      <c r="E67" s="8">
        <v>3752.1</v>
      </c>
      <c r="F67" s="9">
        <f t="shared" si="0"/>
        <v>23599.958579999999</v>
      </c>
      <c r="G67" s="8">
        <v>977.9</v>
      </c>
      <c r="H67" s="8">
        <v>1514.8</v>
      </c>
      <c r="I67" s="9">
        <v>8607</v>
      </c>
      <c r="J67" s="23">
        <f t="shared" si="1"/>
        <v>0.9825342465753425</v>
      </c>
      <c r="K67" s="7">
        <v>12</v>
      </c>
      <c r="L67" s="8">
        <f t="shared" si="2"/>
        <v>64.657420767123284</v>
      </c>
      <c r="M67" s="8">
        <f t="shared" si="3"/>
        <v>65.806785862669912</v>
      </c>
    </row>
    <row r="68" spans="1:13" ht="15" customHeight="1" x14ac:dyDescent="0.3">
      <c r="A68" s="6" t="s">
        <v>98</v>
      </c>
      <c r="B68" s="6" t="s">
        <v>89</v>
      </c>
      <c r="C68" s="6" t="s">
        <v>90</v>
      </c>
      <c r="D68" s="6" t="s">
        <v>550</v>
      </c>
      <c r="E68" s="8">
        <v>3709</v>
      </c>
      <c r="F68" s="9">
        <f t="shared" si="0"/>
        <v>23328.868199999997</v>
      </c>
      <c r="G68" s="8">
        <v>920.8</v>
      </c>
      <c r="H68" s="8">
        <v>636.79999999999995</v>
      </c>
      <c r="I68" s="9">
        <v>8169</v>
      </c>
      <c r="J68" s="23">
        <f t="shared" si="1"/>
        <v>0.93253424657534245</v>
      </c>
      <c r="K68" s="7">
        <v>12</v>
      </c>
      <c r="L68" s="8">
        <f t="shared" si="2"/>
        <v>63.914707397260266</v>
      </c>
      <c r="M68" s="8">
        <f t="shared" si="3"/>
        <v>68.538724054351803</v>
      </c>
    </row>
    <row r="69" spans="1:13" ht="15" customHeight="1" x14ac:dyDescent="0.3">
      <c r="A69" s="6" t="s">
        <v>450</v>
      </c>
      <c r="B69" s="6" t="s">
        <v>397</v>
      </c>
      <c r="C69" s="6" t="s">
        <v>398</v>
      </c>
      <c r="D69" s="6" t="s">
        <v>549</v>
      </c>
      <c r="E69" s="8">
        <v>3707.9</v>
      </c>
      <c r="F69" s="9">
        <f t="shared" ref="F69:F132" si="4">E69*6.2898</f>
        <v>23321.949420000001</v>
      </c>
      <c r="G69" s="8">
        <v>6472.9</v>
      </c>
      <c r="H69" s="8">
        <v>229.3</v>
      </c>
      <c r="I69" s="9">
        <v>6129</v>
      </c>
      <c r="J69" s="23">
        <f t="shared" ref="J69:J132" si="5">I69/(365*24)</f>
        <v>0.6996575342465754</v>
      </c>
      <c r="K69" s="7">
        <v>9</v>
      </c>
      <c r="L69" s="8">
        <f t="shared" ref="L69:L132" si="6">F69/365</f>
        <v>63.895751835616437</v>
      </c>
      <c r="M69" s="8">
        <f t="shared" ref="M69:M132" si="7">IF(I69&gt;0,F69/(I69/24),0)</f>
        <v>91.324324698972106</v>
      </c>
    </row>
    <row r="70" spans="1:13" ht="15" customHeight="1" x14ac:dyDescent="0.3">
      <c r="A70" s="6" t="s">
        <v>99</v>
      </c>
      <c r="B70" s="6" t="s">
        <v>100</v>
      </c>
      <c r="C70" s="6" t="s">
        <v>101</v>
      </c>
      <c r="D70" s="6" t="s">
        <v>550</v>
      </c>
      <c r="E70" s="8">
        <v>3576.2</v>
      </c>
      <c r="F70" s="9">
        <f t="shared" si="4"/>
        <v>22493.582759999998</v>
      </c>
      <c r="G70" s="8">
        <v>860.5</v>
      </c>
      <c r="H70" s="8">
        <v>527.1</v>
      </c>
      <c r="I70" s="9">
        <v>8726</v>
      </c>
      <c r="J70" s="23">
        <f t="shared" si="5"/>
        <v>0.99611872146118718</v>
      </c>
      <c r="K70" s="7">
        <v>12</v>
      </c>
      <c r="L70" s="8">
        <f t="shared" si="6"/>
        <v>61.626254136986297</v>
      </c>
      <c r="M70" s="8">
        <f t="shared" si="7"/>
        <v>61.866374769653902</v>
      </c>
    </row>
    <row r="71" spans="1:13" ht="15" customHeight="1" x14ac:dyDescent="0.3">
      <c r="A71" s="6" t="s">
        <v>102</v>
      </c>
      <c r="B71" s="6" t="s">
        <v>85</v>
      </c>
      <c r="C71" s="6" t="s">
        <v>86</v>
      </c>
      <c r="D71" s="6" t="s">
        <v>549</v>
      </c>
      <c r="E71" s="8">
        <v>3524.7</v>
      </c>
      <c r="F71" s="9">
        <f t="shared" si="4"/>
        <v>22169.658059999998</v>
      </c>
      <c r="G71" s="8">
        <v>1715.6</v>
      </c>
      <c r="H71" s="8">
        <v>438.1</v>
      </c>
      <c r="I71" s="9">
        <v>8500</v>
      </c>
      <c r="J71" s="23">
        <f t="shared" si="5"/>
        <v>0.97031963470319638</v>
      </c>
      <c r="K71" s="7">
        <v>12</v>
      </c>
      <c r="L71" s="8">
        <f t="shared" si="6"/>
        <v>60.738789205479449</v>
      </c>
      <c r="M71" s="8">
        <f t="shared" si="7"/>
        <v>62.596681581176462</v>
      </c>
    </row>
    <row r="72" spans="1:13" ht="15" customHeight="1" x14ac:dyDescent="0.3">
      <c r="A72" s="6" t="s">
        <v>103</v>
      </c>
      <c r="B72" s="6" t="s">
        <v>51</v>
      </c>
      <c r="C72" s="6" t="s">
        <v>52</v>
      </c>
      <c r="D72" s="6" t="s">
        <v>550</v>
      </c>
      <c r="E72" s="8">
        <v>3448.2</v>
      </c>
      <c r="F72" s="9">
        <f t="shared" si="4"/>
        <v>21688.488359999996</v>
      </c>
      <c r="G72" s="8">
        <v>627.79999999999995</v>
      </c>
      <c r="H72" s="8">
        <v>2342.3000000000002</v>
      </c>
      <c r="I72" s="9">
        <v>8757</v>
      </c>
      <c r="J72" s="23">
        <f t="shared" si="5"/>
        <v>0.99965753424657533</v>
      </c>
      <c r="K72" s="7">
        <v>12</v>
      </c>
      <c r="L72" s="8">
        <f t="shared" si="6"/>
        <v>59.420516054794511</v>
      </c>
      <c r="M72" s="8">
        <f t="shared" si="7"/>
        <v>59.440872517985596</v>
      </c>
    </row>
    <row r="73" spans="1:13" ht="15" customHeight="1" x14ac:dyDescent="0.3">
      <c r="A73" s="6" t="s">
        <v>104</v>
      </c>
      <c r="B73" s="6" t="s">
        <v>29</v>
      </c>
      <c r="C73" s="6" t="s">
        <v>30</v>
      </c>
      <c r="D73" s="6" t="s">
        <v>550</v>
      </c>
      <c r="E73" s="8">
        <v>3392</v>
      </c>
      <c r="F73" s="9">
        <f t="shared" si="4"/>
        <v>21335.0016</v>
      </c>
      <c r="G73" s="8">
        <v>2209.4</v>
      </c>
      <c r="H73" s="8">
        <v>129.69999999999999</v>
      </c>
      <c r="I73" s="9">
        <v>8742</v>
      </c>
      <c r="J73" s="23">
        <f t="shared" si="5"/>
        <v>0.99794520547945209</v>
      </c>
      <c r="K73" s="7">
        <v>12</v>
      </c>
      <c r="L73" s="8">
        <f t="shared" si="6"/>
        <v>58.452059178082187</v>
      </c>
      <c r="M73" s="8">
        <f t="shared" si="7"/>
        <v>58.572413452299244</v>
      </c>
    </row>
    <row r="74" spans="1:13" ht="15" customHeight="1" x14ac:dyDescent="0.3">
      <c r="A74" s="6" t="s">
        <v>451</v>
      </c>
      <c r="B74" s="6" t="s">
        <v>392</v>
      </c>
      <c r="C74" s="6" t="s">
        <v>393</v>
      </c>
      <c r="D74" s="6" t="s">
        <v>549</v>
      </c>
      <c r="E74" s="8">
        <v>3380.5</v>
      </c>
      <c r="F74" s="9">
        <f t="shared" si="4"/>
        <v>21262.668899999997</v>
      </c>
      <c r="G74" s="8">
        <v>639.79999999999995</v>
      </c>
      <c r="H74" s="8">
        <v>46.1</v>
      </c>
      <c r="I74" s="9">
        <v>2914</v>
      </c>
      <c r="J74" s="23">
        <f t="shared" si="5"/>
        <v>0.33264840182648403</v>
      </c>
      <c r="K74" s="7">
        <v>4</v>
      </c>
      <c r="L74" s="8">
        <f t="shared" si="6"/>
        <v>58.253887397260264</v>
      </c>
      <c r="M74" s="8">
        <f t="shared" si="7"/>
        <v>175.12150089224431</v>
      </c>
    </row>
    <row r="75" spans="1:13" ht="15" customHeight="1" x14ac:dyDescent="0.3">
      <c r="A75" s="6" t="s">
        <v>105</v>
      </c>
      <c r="B75" s="6" t="s">
        <v>85</v>
      </c>
      <c r="C75" s="6" t="s">
        <v>86</v>
      </c>
      <c r="D75" s="6" t="s">
        <v>549</v>
      </c>
      <c r="E75" s="8">
        <v>3364.2</v>
      </c>
      <c r="F75" s="9">
        <f t="shared" si="4"/>
        <v>21160.145159999996</v>
      </c>
      <c r="G75" s="8">
        <v>885.9</v>
      </c>
      <c r="H75" s="8">
        <v>217.2</v>
      </c>
      <c r="I75" s="9">
        <v>8178</v>
      </c>
      <c r="J75" s="23">
        <f t="shared" si="5"/>
        <v>0.93356164383561646</v>
      </c>
      <c r="K75" s="7">
        <v>12</v>
      </c>
      <c r="L75" s="8">
        <f t="shared" si="6"/>
        <v>57.973000438356152</v>
      </c>
      <c r="M75" s="8">
        <f t="shared" si="7"/>
        <v>62.098738547322071</v>
      </c>
    </row>
    <row r="76" spans="1:13" ht="15" customHeight="1" x14ac:dyDescent="0.3">
      <c r="A76" s="6" t="s">
        <v>453</v>
      </c>
      <c r="B76" s="6" t="s">
        <v>454</v>
      </c>
      <c r="C76" s="6" t="s">
        <v>455</v>
      </c>
      <c r="D76" s="6" t="s">
        <v>549</v>
      </c>
      <c r="E76" s="8">
        <v>3349.5</v>
      </c>
      <c r="F76" s="9">
        <f t="shared" si="4"/>
        <v>21067.685099999999</v>
      </c>
      <c r="G76" s="8">
        <v>899</v>
      </c>
      <c r="H76" s="8">
        <v>61</v>
      </c>
      <c r="I76" s="9">
        <v>2333</v>
      </c>
      <c r="J76" s="23">
        <f t="shared" si="5"/>
        <v>0.26632420091324199</v>
      </c>
      <c r="K76" s="7">
        <v>4</v>
      </c>
      <c r="L76" s="8">
        <f t="shared" si="6"/>
        <v>57.71968520547945</v>
      </c>
      <c r="M76" s="8">
        <f t="shared" si="7"/>
        <v>216.72715062151735</v>
      </c>
    </row>
    <row r="77" spans="1:13" ht="15" customHeight="1" x14ac:dyDescent="0.3">
      <c r="A77" s="6" t="s">
        <v>106</v>
      </c>
      <c r="B77" s="6" t="s">
        <v>38</v>
      </c>
      <c r="C77" s="6" t="s">
        <v>39</v>
      </c>
      <c r="D77" s="6" t="s">
        <v>550</v>
      </c>
      <c r="E77" s="8">
        <v>3322.2</v>
      </c>
      <c r="F77" s="9">
        <f t="shared" si="4"/>
        <v>20895.973559999999</v>
      </c>
      <c r="G77" s="8">
        <v>2978.4</v>
      </c>
      <c r="H77" s="8">
        <v>962.3</v>
      </c>
      <c r="I77" s="9">
        <v>8702</v>
      </c>
      <c r="J77" s="23">
        <f t="shared" si="5"/>
        <v>0.99337899543378994</v>
      </c>
      <c r="K77" s="7">
        <v>12</v>
      </c>
      <c r="L77" s="8">
        <f t="shared" si="6"/>
        <v>57.249242630136983</v>
      </c>
      <c r="M77" s="8">
        <f t="shared" si="7"/>
        <v>57.63081652953344</v>
      </c>
    </row>
    <row r="78" spans="1:13" ht="15" customHeight="1" x14ac:dyDescent="0.3">
      <c r="A78" s="6" t="s">
        <v>457</v>
      </c>
      <c r="B78" s="6" t="s">
        <v>454</v>
      </c>
      <c r="C78" s="6" t="s">
        <v>455</v>
      </c>
      <c r="D78" s="6" t="s">
        <v>549</v>
      </c>
      <c r="E78" s="8">
        <v>3320</v>
      </c>
      <c r="F78" s="9">
        <f t="shared" si="4"/>
        <v>20882.135999999999</v>
      </c>
      <c r="G78" s="8">
        <v>894.1</v>
      </c>
      <c r="H78" s="8">
        <v>45.6</v>
      </c>
      <c r="I78" s="9">
        <v>2658</v>
      </c>
      <c r="J78" s="23">
        <f t="shared" si="5"/>
        <v>0.30342465753424658</v>
      </c>
      <c r="K78" s="7">
        <v>4</v>
      </c>
      <c r="L78" s="8">
        <f t="shared" si="6"/>
        <v>57.211331506849312</v>
      </c>
      <c r="M78" s="8">
        <f t="shared" si="7"/>
        <v>188.55201805869072</v>
      </c>
    </row>
    <row r="79" spans="1:13" ht="15" customHeight="1" x14ac:dyDescent="0.3">
      <c r="A79" s="6" t="s">
        <v>458</v>
      </c>
      <c r="B79" s="6" t="s">
        <v>62</v>
      </c>
      <c r="C79" s="6" t="s">
        <v>63</v>
      </c>
      <c r="D79" s="6" t="s">
        <v>549</v>
      </c>
      <c r="E79" s="8">
        <v>3213.2</v>
      </c>
      <c r="F79" s="9">
        <f t="shared" si="4"/>
        <v>20210.385359999997</v>
      </c>
      <c r="G79" s="8">
        <v>1483</v>
      </c>
      <c r="H79" s="8">
        <v>22.2</v>
      </c>
      <c r="I79" s="9">
        <v>1992</v>
      </c>
      <c r="J79" s="23">
        <f t="shared" si="5"/>
        <v>0.22739726027397261</v>
      </c>
      <c r="K79" s="7">
        <v>3</v>
      </c>
      <c r="L79" s="8">
        <f t="shared" si="6"/>
        <v>55.370918794520541</v>
      </c>
      <c r="M79" s="8">
        <f t="shared" si="7"/>
        <v>243.49861879518068</v>
      </c>
    </row>
    <row r="80" spans="1:13" ht="15" customHeight="1" x14ac:dyDescent="0.3">
      <c r="A80" s="6" t="s">
        <v>107</v>
      </c>
      <c r="B80" s="6" t="s">
        <v>85</v>
      </c>
      <c r="C80" s="6" t="s">
        <v>86</v>
      </c>
      <c r="D80" s="6" t="s">
        <v>549</v>
      </c>
      <c r="E80" s="8">
        <v>3179</v>
      </c>
      <c r="F80" s="9">
        <f t="shared" si="4"/>
        <v>19995.2742</v>
      </c>
      <c r="G80" s="8">
        <v>420.1</v>
      </c>
      <c r="H80" s="8">
        <v>758.8</v>
      </c>
      <c r="I80" s="9">
        <v>8620</v>
      </c>
      <c r="J80" s="23">
        <f t="shared" si="5"/>
        <v>0.98401826484018262</v>
      </c>
      <c r="K80" s="7">
        <v>12</v>
      </c>
      <c r="L80" s="8">
        <f t="shared" si="6"/>
        <v>54.781573150684935</v>
      </c>
      <c r="M80" s="8">
        <f t="shared" si="7"/>
        <v>55.67129707656612</v>
      </c>
    </row>
    <row r="81" spans="1:13" ht="15" customHeight="1" x14ac:dyDescent="0.3">
      <c r="A81" s="6" t="s">
        <v>108</v>
      </c>
      <c r="B81" s="6" t="s">
        <v>109</v>
      </c>
      <c r="C81" s="6" t="s">
        <v>110</v>
      </c>
      <c r="D81" s="6" t="s">
        <v>550</v>
      </c>
      <c r="E81" s="8">
        <v>3114.6</v>
      </c>
      <c r="F81" s="9">
        <f t="shared" si="4"/>
        <v>19590.211079999997</v>
      </c>
      <c r="G81" s="8">
        <v>484.9</v>
      </c>
      <c r="H81" s="8">
        <v>1222</v>
      </c>
      <c r="I81" s="9">
        <v>8755</v>
      </c>
      <c r="J81" s="23">
        <f t="shared" si="5"/>
        <v>0.99942922374429222</v>
      </c>
      <c r="K81" s="7">
        <v>12</v>
      </c>
      <c r="L81" s="8">
        <f t="shared" si="6"/>
        <v>53.671811178082187</v>
      </c>
      <c r="M81" s="8">
        <f t="shared" si="7"/>
        <v>53.702463268989142</v>
      </c>
    </row>
    <row r="82" spans="1:13" ht="15" customHeight="1" x14ac:dyDescent="0.3">
      <c r="A82" s="6" t="s">
        <v>111</v>
      </c>
      <c r="B82" s="6" t="s">
        <v>68</v>
      </c>
      <c r="C82" s="6" t="s">
        <v>69</v>
      </c>
      <c r="D82" s="6" t="s">
        <v>550</v>
      </c>
      <c r="E82" s="8">
        <v>3042.1</v>
      </c>
      <c r="F82" s="9">
        <f t="shared" si="4"/>
        <v>19134.200579999997</v>
      </c>
      <c r="G82" s="8">
        <v>987.2</v>
      </c>
      <c r="H82" s="8">
        <v>1331.5</v>
      </c>
      <c r="I82" s="9">
        <v>8750</v>
      </c>
      <c r="J82" s="23">
        <f t="shared" si="5"/>
        <v>0.99885844748858443</v>
      </c>
      <c r="K82" s="7">
        <v>12</v>
      </c>
      <c r="L82" s="8">
        <f t="shared" si="6"/>
        <v>52.422467342465744</v>
      </c>
      <c r="M82" s="8">
        <f t="shared" si="7"/>
        <v>52.482378733714278</v>
      </c>
    </row>
    <row r="83" spans="1:13" ht="15" customHeight="1" x14ac:dyDescent="0.3">
      <c r="A83" s="6" t="s">
        <v>459</v>
      </c>
      <c r="B83" s="6" t="s">
        <v>454</v>
      </c>
      <c r="C83" s="6" t="s">
        <v>455</v>
      </c>
      <c r="D83" s="6" t="s">
        <v>549</v>
      </c>
      <c r="E83" s="8">
        <v>3012.4</v>
      </c>
      <c r="F83" s="9">
        <f t="shared" si="4"/>
        <v>18947.393519999998</v>
      </c>
      <c r="G83" s="8">
        <v>770.3</v>
      </c>
      <c r="H83" s="8">
        <v>40.5</v>
      </c>
      <c r="I83" s="9">
        <v>2652</v>
      </c>
      <c r="J83" s="23">
        <f t="shared" si="5"/>
        <v>0.30273972602739724</v>
      </c>
      <c r="K83" s="7">
        <v>4</v>
      </c>
      <c r="L83" s="8">
        <f t="shared" si="6"/>
        <v>51.910667178082186</v>
      </c>
      <c r="M83" s="8">
        <f t="shared" si="7"/>
        <v>171.46962461538459</v>
      </c>
    </row>
    <row r="84" spans="1:13" ht="15" customHeight="1" x14ac:dyDescent="0.3">
      <c r="A84" s="6" t="s">
        <v>112</v>
      </c>
      <c r="B84" s="6" t="s">
        <v>85</v>
      </c>
      <c r="C84" s="6" t="s">
        <v>86</v>
      </c>
      <c r="D84" s="6" t="s">
        <v>549</v>
      </c>
      <c r="E84" s="8">
        <v>2981.4</v>
      </c>
      <c r="F84" s="9">
        <f t="shared" si="4"/>
        <v>18752.40972</v>
      </c>
      <c r="G84" s="8">
        <v>983.3</v>
      </c>
      <c r="H84" s="8">
        <v>1017.7</v>
      </c>
      <c r="I84" s="9">
        <v>8613</v>
      </c>
      <c r="J84" s="23">
        <f t="shared" si="5"/>
        <v>0.98321917808219184</v>
      </c>
      <c r="K84" s="7">
        <v>12</v>
      </c>
      <c r="L84" s="8">
        <f t="shared" si="6"/>
        <v>51.376464986301372</v>
      </c>
      <c r="M84" s="8">
        <f t="shared" si="7"/>
        <v>52.253318620689654</v>
      </c>
    </row>
    <row r="85" spans="1:13" ht="15" customHeight="1" x14ac:dyDescent="0.3">
      <c r="A85" s="6" t="s">
        <v>113</v>
      </c>
      <c r="B85" s="6" t="s">
        <v>65</v>
      </c>
      <c r="C85" s="6" t="s">
        <v>39</v>
      </c>
      <c r="D85" s="6" t="s">
        <v>549</v>
      </c>
      <c r="E85" s="8">
        <v>2970.2</v>
      </c>
      <c r="F85" s="9">
        <f t="shared" si="4"/>
        <v>18681.963959999997</v>
      </c>
      <c r="G85" s="8">
        <v>5485.3</v>
      </c>
      <c r="H85" s="8">
        <v>1130.5999999999999</v>
      </c>
      <c r="I85" s="9">
        <v>8654</v>
      </c>
      <c r="J85" s="23">
        <f t="shared" si="5"/>
        <v>0.98789954337899544</v>
      </c>
      <c r="K85" s="7">
        <v>12</v>
      </c>
      <c r="L85" s="8">
        <f t="shared" si="6"/>
        <v>51.183462904109582</v>
      </c>
      <c r="M85" s="8">
        <f t="shared" si="7"/>
        <v>51.810392308758949</v>
      </c>
    </row>
    <row r="86" spans="1:13" ht="15" customHeight="1" x14ac:dyDescent="0.3">
      <c r="A86" s="6" t="s">
        <v>114</v>
      </c>
      <c r="B86" s="6" t="s">
        <v>115</v>
      </c>
      <c r="C86" s="6" t="s">
        <v>116</v>
      </c>
      <c r="D86" s="6" t="s">
        <v>549</v>
      </c>
      <c r="E86" s="8">
        <v>2953.1</v>
      </c>
      <c r="F86" s="9">
        <f t="shared" si="4"/>
        <v>18574.408379999997</v>
      </c>
      <c r="G86" s="8">
        <v>3044.4</v>
      </c>
      <c r="H86" s="8">
        <v>416.8</v>
      </c>
      <c r="I86" s="9">
        <v>8436</v>
      </c>
      <c r="J86" s="23">
        <f t="shared" si="5"/>
        <v>0.96301369863013697</v>
      </c>
      <c r="K86" s="7">
        <v>12</v>
      </c>
      <c r="L86" s="8">
        <f t="shared" si="6"/>
        <v>50.888790082191775</v>
      </c>
      <c r="M86" s="8">
        <f t="shared" si="7"/>
        <v>52.843267083926023</v>
      </c>
    </row>
    <row r="87" spans="1:13" ht="15" customHeight="1" x14ac:dyDescent="0.3">
      <c r="A87" s="6" t="s">
        <v>117</v>
      </c>
      <c r="B87" s="6" t="s">
        <v>65</v>
      </c>
      <c r="C87" s="6" t="s">
        <v>39</v>
      </c>
      <c r="D87" s="6" t="s">
        <v>549</v>
      </c>
      <c r="E87" s="8">
        <v>2928</v>
      </c>
      <c r="F87" s="9">
        <f t="shared" si="4"/>
        <v>18416.5344</v>
      </c>
      <c r="G87" s="8">
        <v>4589.5</v>
      </c>
      <c r="H87" s="8">
        <v>520.1</v>
      </c>
      <c r="I87" s="9">
        <v>8746</v>
      </c>
      <c r="J87" s="23">
        <f t="shared" si="5"/>
        <v>0.99840182648401832</v>
      </c>
      <c r="K87" s="7">
        <v>12</v>
      </c>
      <c r="L87" s="8">
        <f t="shared" si="6"/>
        <v>50.456258630136986</v>
      </c>
      <c r="M87" s="8">
        <f t="shared" si="7"/>
        <v>50.537025565973018</v>
      </c>
    </row>
    <row r="88" spans="1:13" ht="15" customHeight="1" x14ac:dyDescent="0.3">
      <c r="A88" s="6" t="s">
        <v>460</v>
      </c>
      <c r="B88" s="6" t="s">
        <v>461</v>
      </c>
      <c r="C88" s="6" t="s">
        <v>462</v>
      </c>
      <c r="D88" s="6" t="s">
        <v>549</v>
      </c>
      <c r="E88" s="8">
        <v>2903.6</v>
      </c>
      <c r="F88" s="9">
        <f t="shared" si="4"/>
        <v>18263.063279999998</v>
      </c>
      <c r="G88" s="8">
        <v>2441.5</v>
      </c>
      <c r="H88" s="8">
        <v>68.7</v>
      </c>
      <c r="I88" s="9">
        <v>6469</v>
      </c>
      <c r="J88" s="23">
        <f t="shared" si="5"/>
        <v>0.73847031963470322</v>
      </c>
      <c r="K88" s="7">
        <v>9</v>
      </c>
      <c r="L88" s="8">
        <f t="shared" si="6"/>
        <v>50.035789808219171</v>
      </c>
      <c r="M88" s="8">
        <f t="shared" si="7"/>
        <v>67.755993000463747</v>
      </c>
    </row>
    <row r="89" spans="1:13" ht="15" customHeight="1" x14ac:dyDescent="0.3">
      <c r="A89" s="6" t="s">
        <v>118</v>
      </c>
      <c r="B89" s="6" t="s">
        <v>100</v>
      </c>
      <c r="C89" s="6" t="s">
        <v>101</v>
      </c>
      <c r="D89" s="6" t="s">
        <v>550</v>
      </c>
      <c r="E89" s="8">
        <v>2896.6</v>
      </c>
      <c r="F89" s="9">
        <f t="shared" si="4"/>
        <v>18219.034679999997</v>
      </c>
      <c r="G89" s="8">
        <v>1600.9</v>
      </c>
      <c r="H89" s="8">
        <v>766</v>
      </c>
      <c r="I89" s="9">
        <v>8646</v>
      </c>
      <c r="J89" s="23">
        <f t="shared" si="5"/>
        <v>0.98698630136986298</v>
      </c>
      <c r="K89" s="7">
        <v>12</v>
      </c>
      <c r="L89" s="8">
        <f t="shared" si="6"/>
        <v>49.915163506849304</v>
      </c>
      <c r="M89" s="8">
        <f t="shared" si="7"/>
        <v>50.573309312977088</v>
      </c>
    </row>
    <row r="90" spans="1:13" ht="15" customHeight="1" x14ac:dyDescent="0.3">
      <c r="A90" s="6" t="s">
        <v>119</v>
      </c>
      <c r="B90" s="6" t="s">
        <v>120</v>
      </c>
      <c r="C90" s="6" t="s">
        <v>121</v>
      </c>
      <c r="D90" s="6" t="s">
        <v>550</v>
      </c>
      <c r="E90" s="8">
        <v>2864.8</v>
      </c>
      <c r="F90" s="9">
        <f t="shared" si="4"/>
        <v>18019.019039999999</v>
      </c>
      <c r="G90" s="8">
        <v>3190.2</v>
      </c>
      <c r="H90" s="8">
        <v>742.2</v>
      </c>
      <c r="I90" s="9">
        <v>8726</v>
      </c>
      <c r="J90" s="23">
        <f t="shared" si="5"/>
        <v>0.99611872146118718</v>
      </c>
      <c r="K90" s="7">
        <v>12</v>
      </c>
      <c r="L90" s="8">
        <f t="shared" si="6"/>
        <v>49.367175452054795</v>
      </c>
      <c r="M90" s="8">
        <f t="shared" si="7"/>
        <v>49.55952979142792</v>
      </c>
    </row>
    <row r="91" spans="1:13" ht="15" customHeight="1" x14ac:dyDescent="0.3">
      <c r="A91" s="6" t="s">
        <v>122</v>
      </c>
      <c r="B91" s="6" t="s">
        <v>123</v>
      </c>
      <c r="C91" s="6" t="s">
        <v>124</v>
      </c>
      <c r="D91" s="6" t="s">
        <v>549</v>
      </c>
      <c r="E91" s="8">
        <v>2690.2</v>
      </c>
      <c r="F91" s="9">
        <f t="shared" si="4"/>
        <v>16920.819959999997</v>
      </c>
      <c r="G91" s="8">
        <v>3684.6</v>
      </c>
      <c r="H91" s="8">
        <v>145.6</v>
      </c>
      <c r="I91" s="9">
        <v>8617</v>
      </c>
      <c r="J91" s="23">
        <f t="shared" si="5"/>
        <v>0.98367579908675795</v>
      </c>
      <c r="K91" s="7">
        <v>12</v>
      </c>
      <c r="L91" s="8">
        <f t="shared" si="6"/>
        <v>46.358410849315064</v>
      </c>
      <c r="M91" s="8">
        <f t="shared" si="7"/>
        <v>47.127733438551687</v>
      </c>
    </row>
    <row r="92" spans="1:13" ht="15" customHeight="1" x14ac:dyDescent="0.3">
      <c r="A92" s="6" t="s">
        <v>396</v>
      </c>
      <c r="B92" s="6" t="s">
        <v>397</v>
      </c>
      <c r="C92" s="6" t="s">
        <v>398</v>
      </c>
      <c r="D92" s="6" t="s">
        <v>549</v>
      </c>
      <c r="E92" s="8">
        <v>2674.7</v>
      </c>
      <c r="F92" s="9">
        <f t="shared" si="4"/>
        <v>16823.328059999996</v>
      </c>
      <c r="G92" s="8">
        <v>10181.700000000001</v>
      </c>
      <c r="H92" s="8">
        <v>227.2</v>
      </c>
      <c r="I92" s="9">
        <v>6640</v>
      </c>
      <c r="J92" s="23">
        <f t="shared" si="5"/>
        <v>0.75799086757990863</v>
      </c>
      <c r="K92" s="7">
        <v>10</v>
      </c>
      <c r="L92" s="8">
        <f t="shared" si="6"/>
        <v>46.091309753424646</v>
      </c>
      <c r="M92" s="8">
        <f t="shared" si="7"/>
        <v>60.807209855421668</v>
      </c>
    </row>
    <row r="93" spans="1:13" ht="15" customHeight="1" x14ac:dyDescent="0.3">
      <c r="A93" s="6" t="s">
        <v>125</v>
      </c>
      <c r="B93" s="6" t="s">
        <v>77</v>
      </c>
      <c r="C93" s="6" t="s">
        <v>78</v>
      </c>
      <c r="D93" s="6" t="s">
        <v>550</v>
      </c>
      <c r="E93" s="8">
        <v>2660.4</v>
      </c>
      <c r="F93" s="9">
        <f t="shared" si="4"/>
        <v>16733.38392</v>
      </c>
      <c r="G93" s="8">
        <v>2402.6</v>
      </c>
      <c r="H93" s="8">
        <v>835.7</v>
      </c>
      <c r="I93" s="9">
        <v>8329</v>
      </c>
      <c r="J93" s="23">
        <f t="shared" si="5"/>
        <v>0.95079908675799085</v>
      </c>
      <c r="K93" s="7">
        <v>12</v>
      </c>
      <c r="L93" s="8">
        <f t="shared" si="6"/>
        <v>45.844887452054792</v>
      </c>
      <c r="M93" s="8">
        <f t="shared" si="7"/>
        <v>48.217218643294508</v>
      </c>
    </row>
    <row r="94" spans="1:13" ht="15" customHeight="1" x14ac:dyDescent="0.3">
      <c r="A94" s="6" t="s">
        <v>126</v>
      </c>
      <c r="B94" s="6" t="s">
        <v>89</v>
      </c>
      <c r="C94" s="6" t="s">
        <v>90</v>
      </c>
      <c r="D94" s="6" t="s">
        <v>550</v>
      </c>
      <c r="E94" s="8">
        <v>2656.9</v>
      </c>
      <c r="F94" s="9">
        <f t="shared" si="4"/>
        <v>16711.369620000001</v>
      </c>
      <c r="G94" s="8">
        <v>1851.8</v>
      </c>
      <c r="H94" s="8">
        <v>1376.1</v>
      </c>
      <c r="I94" s="9">
        <v>8118</v>
      </c>
      <c r="J94" s="23">
        <f t="shared" si="5"/>
        <v>0.92671232876712328</v>
      </c>
      <c r="K94" s="7">
        <v>12</v>
      </c>
      <c r="L94" s="8">
        <f t="shared" si="6"/>
        <v>45.784574301369865</v>
      </c>
      <c r="M94" s="8">
        <f t="shared" si="7"/>
        <v>49.405379512195125</v>
      </c>
    </row>
    <row r="95" spans="1:13" ht="15" customHeight="1" x14ac:dyDescent="0.3">
      <c r="A95" s="6" t="s">
        <v>127</v>
      </c>
      <c r="B95" s="6" t="s">
        <v>109</v>
      </c>
      <c r="C95" s="6" t="s">
        <v>110</v>
      </c>
      <c r="D95" s="6" t="s">
        <v>550</v>
      </c>
      <c r="E95" s="8">
        <v>2636.1</v>
      </c>
      <c r="F95" s="9">
        <f t="shared" si="4"/>
        <v>16580.54178</v>
      </c>
      <c r="G95" s="8">
        <v>2188</v>
      </c>
      <c r="H95" s="8">
        <v>982.5</v>
      </c>
      <c r="I95" s="9">
        <v>8736</v>
      </c>
      <c r="J95" s="23">
        <f t="shared" si="5"/>
        <v>0.99726027397260275</v>
      </c>
      <c r="K95" s="7">
        <v>12</v>
      </c>
      <c r="L95" s="8">
        <f t="shared" si="6"/>
        <v>45.426141863013697</v>
      </c>
      <c r="M95" s="8">
        <f t="shared" si="7"/>
        <v>45.550938956043957</v>
      </c>
    </row>
    <row r="96" spans="1:13" ht="15" customHeight="1" x14ac:dyDescent="0.3">
      <c r="A96" s="6" t="s">
        <v>370</v>
      </c>
      <c r="B96" s="6" t="s">
        <v>371</v>
      </c>
      <c r="C96" s="6" t="s">
        <v>372</v>
      </c>
      <c r="D96" s="6" t="s">
        <v>549</v>
      </c>
      <c r="E96" s="8">
        <v>2507.9</v>
      </c>
      <c r="F96" s="9">
        <f t="shared" si="4"/>
        <v>15774.189419999999</v>
      </c>
      <c r="G96" s="8">
        <v>1031.5999999999999</v>
      </c>
      <c r="H96" s="8">
        <v>24.8</v>
      </c>
      <c r="I96" s="9">
        <v>6861</v>
      </c>
      <c r="J96" s="23">
        <f t="shared" si="5"/>
        <v>0.78321917808219177</v>
      </c>
      <c r="K96" s="7">
        <v>10</v>
      </c>
      <c r="L96" s="8">
        <f t="shared" si="6"/>
        <v>43.216957315068491</v>
      </c>
      <c r="M96" s="8">
        <f t="shared" si="7"/>
        <v>55.178624993441183</v>
      </c>
    </row>
    <row r="97" spans="1:13" ht="15" customHeight="1" x14ac:dyDescent="0.3">
      <c r="A97" s="6" t="s">
        <v>128</v>
      </c>
      <c r="B97" s="6" t="s">
        <v>65</v>
      </c>
      <c r="C97" s="6" t="s">
        <v>39</v>
      </c>
      <c r="D97" s="6" t="s">
        <v>549</v>
      </c>
      <c r="E97" s="8">
        <v>2501.6</v>
      </c>
      <c r="F97" s="9">
        <f t="shared" si="4"/>
        <v>15734.563679999999</v>
      </c>
      <c r="G97" s="8">
        <v>1021.8</v>
      </c>
      <c r="H97" s="8">
        <v>172.6</v>
      </c>
      <c r="I97" s="9">
        <v>8756</v>
      </c>
      <c r="J97" s="23">
        <f t="shared" si="5"/>
        <v>0.99954337899543377</v>
      </c>
      <c r="K97" s="7">
        <v>12</v>
      </c>
      <c r="L97" s="8">
        <f t="shared" si="6"/>
        <v>43.108393643835612</v>
      </c>
      <c r="M97" s="8">
        <f t="shared" si="7"/>
        <v>43.128086834170851</v>
      </c>
    </row>
    <row r="98" spans="1:13" ht="15" customHeight="1" x14ac:dyDescent="0.3">
      <c r="A98" s="6" t="s">
        <v>463</v>
      </c>
      <c r="B98" s="6" t="s">
        <v>454</v>
      </c>
      <c r="C98" s="6" t="s">
        <v>455</v>
      </c>
      <c r="D98" s="6" t="s">
        <v>549</v>
      </c>
      <c r="E98" s="8">
        <v>2472</v>
      </c>
      <c r="F98" s="9">
        <f t="shared" si="4"/>
        <v>15548.3856</v>
      </c>
      <c r="G98" s="8">
        <v>982.3</v>
      </c>
      <c r="H98" s="8">
        <v>27.8</v>
      </c>
      <c r="I98" s="9">
        <v>3054</v>
      </c>
      <c r="J98" s="23">
        <f t="shared" si="5"/>
        <v>0.34863013698630135</v>
      </c>
      <c r="K98" s="7">
        <v>5</v>
      </c>
      <c r="L98" s="8">
        <f t="shared" si="6"/>
        <v>42.598316712328767</v>
      </c>
      <c r="M98" s="8">
        <f t="shared" si="7"/>
        <v>122.18770609037328</v>
      </c>
    </row>
    <row r="99" spans="1:13" ht="15" customHeight="1" x14ac:dyDescent="0.3">
      <c r="A99" s="6" t="s">
        <v>464</v>
      </c>
      <c r="B99" s="6" t="s">
        <v>454</v>
      </c>
      <c r="C99" s="6" t="s">
        <v>455</v>
      </c>
      <c r="D99" s="6" t="s">
        <v>549</v>
      </c>
      <c r="E99" s="8">
        <v>2453.4</v>
      </c>
      <c r="F99" s="9">
        <f t="shared" si="4"/>
        <v>15431.39532</v>
      </c>
      <c r="G99" s="8">
        <v>810.3</v>
      </c>
      <c r="H99" s="8">
        <v>40.4</v>
      </c>
      <c r="I99" s="9">
        <v>3050</v>
      </c>
      <c r="J99" s="23">
        <f t="shared" si="5"/>
        <v>0.34817351598173518</v>
      </c>
      <c r="K99" s="7">
        <v>5</v>
      </c>
      <c r="L99" s="8">
        <f t="shared" si="6"/>
        <v>42.27779539726027</v>
      </c>
      <c r="M99" s="8">
        <f t="shared" si="7"/>
        <v>121.42737300983606</v>
      </c>
    </row>
    <row r="100" spans="1:13" ht="15" customHeight="1" x14ac:dyDescent="0.3">
      <c r="A100" s="6" t="s">
        <v>465</v>
      </c>
      <c r="B100" s="6" t="s">
        <v>62</v>
      </c>
      <c r="C100" s="6" t="s">
        <v>63</v>
      </c>
      <c r="D100" s="6" t="s">
        <v>549</v>
      </c>
      <c r="E100" s="8">
        <v>2431.5</v>
      </c>
      <c r="F100" s="9">
        <f t="shared" si="4"/>
        <v>15293.6487</v>
      </c>
      <c r="G100" s="8">
        <v>781.2</v>
      </c>
      <c r="H100" s="8">
        <v>7.1</v>
      </c>
      <c r="I100" s="9">
        <v>1768</v>
      </c>
      <c r="J100" s="23">
        <f t="shared" si="5"/>
        <v>0.20182648401826483</v>
      </c>
      <c r="K100" s="7">
        <v>3</v>
      </c>
      <c r="L100" s="8">
        <f t="shared" si="6"/>
        <v>41.900407397260274</v>
      </c>
      <c r="M100" s="8">
        <f t="shared" si="7"/>
        <v>207.60609095022622</v>
      </c>
    </row>
    <row r="101" spans="1:13" ht="15" customHeight="1" x14ac:dyDescent="0.3">
      <c r="A101" s="6" t="s">
        <v>129</v>
      </c>
      <c r="B101" s="6" t="s">
        <v>59</v>
      </c>
      <c r="C101" s="6" t="s">
        <v>60</v>
      </c>
      <c r="D101" s="6" t="s">
        <v>550</v>
      </c>
      <c r="E101" s="8">
        <v>2417.6</v>
      </c>
      <c r="F101" s="9">
        <f t="shared" si="4"/>
        <v>15206.220479999998</v>
      </c>
      <c r="G101" s="8">
        <v>210.8</v>
      </c>
      <c r="H101" s="8">
        <v>459.2</v>
      </c>
      <c r="I101" s="9">
        <v>8497</v>
      </c>
      <c r="J101" s="23">
        <f t="shared" si="5"/>
        <v>0.96997716894977171</v>
      </c>
      <c r="K101" s="7">
        <v>12</v>
      </c>
      <c r="L101" s="8">
        <f t="shared" si="6"/>
        <v>41.660878027397253</v>
      </c>
      <c r="M101" s="8">
        <f t="shared" si="7"/>
        <v>42.950369721078019</v>
      </c>
    </row>
    <row r="102" spans="1:13" ht="15" customHeight="1" x14ac:dyDescent="0.3">
      <c r="A102" s="6" t="s">
        <v>130</v>
      </c>
      <c r="B102" s="6" t="s">
        <v>85</v>
      </c>
      <c r="C102" s="6" t="s">
        <v>86</v>
      </c>
      <c r="D102" s="6" t="s">
        <v>549</v>
      </c>
      <c r="E102" s="8">
        <v>2393.9</v>
      </c>
      <c r="F102" s="9">
        <f t="shared" si="4"/>
        <v>15057.15222</v>
      </c>
      <c r="G102" s="8">
        <v>1935.1</v>
      </c>
      <c r="H102" s="8">
        <v>798.6</v>
      </c>
      <c r="I102" s="9">
        <v>8265</v>
      </c>
      <c r="J102" s="23">
        <f t="shared" si="5"/>
        <v>0.94349315068493156</v>
      </c>
      <c r="K102" s="7">
        <v>12</v>
      </c>
      <c r="L102" s="8">
        <f t="shared" si="6"/>
        <v>41.25247183561644</v>
      </c>
      <c r="M102" s="8">
        <f t="shared" si="7"/>
        <v>43.723128043557168</v>
      </c>
    </row>
    <row r="103" spans="1:13" ht="15" customHeight="1" x14ac:dyDescent="0.3">
      <c r="A103" s="6" t="s">
        <v>466</v>
      </c>
      <c r="B103" s="6" t="s">
        <v>62</v>
      </c>
      <c r="C103" s="6" t="s">
        <v>63</v>
      </c>
      <c r="D103" s="6" t="s">
        <v>549</v>
      </c>
      <c r="E103" s="8">
        <v>2377</v>
      </c>
      <c r="F103" s="9">
        <f t="shared" si="4"/>
        <v>14950.854599999999</v>
      </c>
      <c r="G103" s="8">
        <v>1041.0999999999999</v>
      </c>
      <c r="H103" s="8">
        <v>19.399999999999999</v>
      </c>
      <c r="I103" s="9">
        <v>1992</v>
      </c>
      <c r="J103" s="23">
        <f t="shared" si="5"/>
        <v>0.22739726027397261</v>
      </c>
      <c r="K103" s="7">
        <v>3</v>
      </c>
      <c r="L103" s="8">
        <f t="shared" si="6"/>
        <v>40.961245479452053</v>
      </c>
      <c r="M103" s="8">
        <f t="shared" si="7"/>
        <v>180.13077831325299</v>
      </c>
    </row>
    <row r="104" spans="1:13" ht="15" customHeight="1" x14ac:dyDescent="0.3">
      <c r="A104" s="6" t="s">
        <v>131</v>
      </c>
      <c r="B104" s="6" t="s">
        <v>132</v>
      </c>
      <c r="C104" s="6" t="s">
        <v>133</v>
      </c>
      <c r="D104" s="6" t="s">
        <v>550</v>
      </c>
      <c r="E104" s="8">
        <v>2314.5</v>
      </c>
      <c r="F104" s="9">
        <f t="shared" si="4"/>
        <v>14557.742099999999</v>
      </c>
      <c r="G104" s="8">
        <v>3469.1</v>
      </c>
      <c r="H104" s="8">
        <v>735.7</v>
      </c>
      <c r="I104" s="9">
        <v>8665</v>
      </c>
      <c r="J104" s="23">
        <f t="shared" si="5"/>
        <v>0.98915525114155256</v>
      </c>
      <c r="K104" s="7">
        <v>12</v>
      </c>
      <c r="L104" s="8">
        <f t="shared" si="6"/>
        <v>39.88422493150685</v>
      </c>
      <c r="M104" s="8">
        <f t="shared" si="7"/>
        <v>40.321501488747835</v>
      </c>
    </row>
    <row r="105" spans="1:13" ht="15" customHeight="1" x14ac:dyDescent="0.3">
      <c r="A105" s="6" t="s">
        <v>134</v>
      </c>
      <c r="B105" s="6" t="s">
        <v>135</v>
      </c>
      <c r="C105" s="6" t="s">
        <v>136</v>
      </c>
      <c r="D105" s="6" t="s">
        <v>550</v>
      </c>
      <c r="E105" s="8">
        <v>2293</v>
      </c>
      <c r="F105" s="9">
        <f t="shared" si="4"/>
        <v>14422.511399999999</v>
      </c>
      <c r="G105" s="8">
        <v>4824.5</v>
      </c>
      <c r="H105" s="8">
        <v>987.2</v>
      </c>
      <c r="I105" s="9">
        <v>8689</v>
      </c>
      <c r="J105" s="23">
        <f t="shared" si="5"/>
        <v>0.99189497716894981</v>
      </c>
      <c r="K105" s="7">
        <v>12</v>
      </c>
      <c r="L105" s="8">
        <f t="shared" si="6"/>
        <v>39.513729863013694</v>
      </c>
      <c r="M105" s="8">
        <f t="shared" si="7"/>
        <v>39.836606467947973</v>
      </c>
    </row>
    <row r="106" spans="1:13" ht="15" customHeight="1" x14ac:dyDescent="0.3">
      <c r="A106" s="6" t="s">
        <v>137</v>
      </c>
      <c r="B106" s="6" t="s">
        <v>138</v>
      </c>
      <c r="C106" s="6" t="s">
        <v>139</v>
      </c>
      <c r="D106" s="6" t="s">
        <v>550</v>
      </c>
      <c r="E106" s="8">
        <v>2263.5</v>
      </c>
      <c r="F106" s="9">
        <f t="shared" si="4"/>
        <v>14236.962299999999</v>
      </c>
      <c r="G106" s="8">
        <v>829.8</v>
      </c>
      <c r="H106" s="8">
        <v>2765.3</v>
      </c>
      <c r="I106" s="9">
        <v>8745</v>
      </c>
      <c r="J106" s="23">
        <f t="shared" si="5"/>
        <v>0.99828767123287676</v>
      </c>
      <c r="K106" s="7">
        <v>12</v>
      </c>
      <c r="L106" s="8">
        <f t="shared" si="6"/>
        <v>39.005376164383563</v>
      </c>
      <c r="M106" s="8">
        <f t="shared" si="7"/>
        <v>39.072280754716978</v>
      </c>
    </row>
    <row r="107" spans="1:13" ht="15" customHeight="1" x14ac:dyDescent="0.3">
      <c r="A107" s="6" t="s">
        <v>140</v>
      </c>
      <c r="B107" s="6" t="s">
        <v>109</v>
      </c>
      <c r="C107" s="6" t="s">
        <v>110</v>
      </c>
      <c r="D107" s="6" t="s">
        <v>550</v>
      </c>
      <c r="E107" s="8">
        <v>2211.3000000000002</v>
      </c>
      <c r="F107" s="9">
        <f t="shared" si="4"/>
        <v>13908.63474</v>
      </c>
      <c r="G107" s="8">
        <v>492.7</v>
      </c>
      <c r="H107" s="8">
        <v>924.9</v>
      </c>
      <c r="I107" s="9">
        <v>8760</v>
      </c>
      <c r="J107" s="23">
        <f t="shared" si="5"/>
        <v>1</v>
      </c>
      <c r="K107" s="7">
        <v>12</v>
      </c>
      <c r="L107" s="8">
        <f t="shared" si="6"/>
        <v>38.105848602739727</v>
      </c>
      <c r="M107" s="8">
        <f t="shared" si="7"/>
        <v>38.105848602739727</v>
      </c>
    </row>
    <row r="108" spans="1:13" ht="15" customHeight="1" x14ac:dyDescent="0.3">
      <c r="A108" s="6" t="s">
        <v>141</v>
      </c>
      <c r="B108" s="6" t="s">
        <v>115</v>
      </c>
      <c r="C108" s="6" t="s">
        <v>116</v>
      </c>
      <c r="D108" s="6" t="s">
        <v>549</v>
      </c>
      <c r="E108" s="8">
        <v>2152.1</v>
      </c>
      <c r="F108" s="9">
        <f t="shared" si="4"/>
        <v>13536.278579999998</v>
      </c>
      <c r="G108" s="8">
        <v>2066</v>
      </c>
      <c r="H108" s="8">
        <v>23</v>
      </c>
      <c r="I108" s="9">
        <v>8623</v>
      </c>
      <c r="J108" s="23">
        <f t="shared" si="5"/>
        <v>0.98436073059360729</v>
      </c>
      <c r="K108" s="7">
        <v>12</v>
      </c>
      <c r="L108" s="8">
        <f t="shared" si="6"/>
        <v>37.085694739726023</v>
      </c>
      <c r="M108" s="8">
        <f t="shared" si="7"/>
        <v>37.674902692798327</v>
      </c>
    </row>
    <row r="109" spans="1:13" ht="15" customHeight="1" x14ac:dyDescent="0.3">
      <c r="A109" s="6" t="s">
        <v>142</v>
      </c>
      <c r="B109" s="6" t="s">
        <v>68</v>
      </c>
      <c r="C109" s="6" t="s">
        <v>69</v>
      </c>
      <c r="D109" s="6" t="s">
        <v>550</v>
      </c>
      <c r="E109" s="8">
        <v>2063.6</v>
      </c>
      <c r="F109" s="9">
        <f t="shared" si="4"/>
        <v>12979.631279999998</v>
      </c>
      <c r="G109" s="8">
        <v>643.70000000000005</v>
      </c>
      <c r="H109" s="8">
        <v>1275.7</v>
      </c>
      <c r="I109" s="9">
        <v>8709</v>
      </c>
      <c r="J109" s="23">
        <f t="shared" si="5"/>
        <v>0.99417808219178083</v>
      </c>
      <c r="K109" s="7">
        <v>12</v>
      </c>
      <c r="L109" s="8">
        <f t="shared" si="6"/>
        <v>35.560633643835608</v>
      </c>
      <c r="M109" s="8">
        <f t="shared" si="7"/>
        <v>35.768877106441607</v>
      </c>
    </row>
    <row r="110" spans="1:13" ht="15" customHeight="1" x14ac:dyDescent="0.3">
      <c r="A110" s="6" t="s">
        <v>143</v>
      </c>
      <c r="B110" s="6" t="s">
        <v>120</v>
      </c>
      <c r="C110" s="6" t="s">
        <v>121</v>
      </c>
      <c r="D110" s="6" t="s">
        <v>550</v>
      </c>
      <c r="E110" s="8">
        <v>2042.4</v>
      </c>
      <c r="F110" s="9">
        <f t="shared" si="4"/>
        <v>12846.28752</v>
      </c>
      <c r="G110" s="8">
        <v>1452.1</v>
      </c>
      <c r="H110" s="8">
        <v>526.4</v>
      </c>
      <c r="I110" s="9">
        <v>8468</v>
      </c>
      <c r="J110" s="23">
        <f t="shared" si="5"/>
        <v>0.96666666666666667</v>
      </c>
      <c r="K110" s="7">
        <v>12</v>
      </c>
      <c r="L110" s="8">
        <f t="shared" si="6"/>
        <v>35.1953082739726</v>
      </c>
      <c r="M110" s="8">
        <f t="shared" si="7"/>
        <v>36.408939593764764</v>
      </c>
    </row>
    <row r="111" spans="1:13" ht="15" customHeight="1" x14ac:dyDescent="0.3">
      <c r="A111" s="6" t="s">
        <v>144</v>
      </c>
      <c r="B111" s="6" t="s">
        <v>55</v>
      </c>
      <c r="C111" s="6" t="s">
        <v>56</v>
      </c>
      <c r="D111" s="6" t="s">
        <v>549</v>
      </c>
      <c r="E111" s="8">
        <v>2029.2</v>
      </c>
      <c r="F111" s="9">
        <f t="shared" si="4"/>
        <v>12763.26216</v>
      </c>
      <c r="G111" s="8">
        <v>12654.9</v>
      </c>
      <c r="H111" s="8">
        <v>57.1</v>
      </c>
      <c r="I111" s="9">
        <v>8136</v>
      </c>
      <c r="J111" s="23">
        <f t="shared" si="5"/>
        <v>0.92876712328767119</v>
      </c>
      <c r="K111" s="7">
        <v>12</v>
      </c>
      <c r="L111" s="8">
        <f t="shared" si="6"/>
        <v>34.967841534246574</v>
      </c>
      <c r="M111" s="8">
        <f t="shared" si="7"/>
        <v>37.649740884955754</v>
      </c>
    </row>
    <row r="112" spans="1:13" ht="15" customHeight="1" x14ac:dyDescent="0.3">
      <c r="A112" s="6" t="s">
        <v>145</v>
      </c>
      <c r="B112" s="6" t="s">
        <v>146</v>
      </c>
      <c r="C112" s="6" t="s">
        <v>147</v>
      </c>
      <c r="D112" s="6" t="s">
        <v>550</v>
      </c>
      <c r="E112" s="8">
        <v>2021</v>
      </c>
      <c r="F112" s="9">
        <f t="shared" si="4"/>
        <v>12711.685799999999</v>
      </c>
      <c r="G112" s="8">
        <v>1661.9</v>
      </c>
      <c r="H112" s="8">
        <v>1767.2</v>
      </c>
      <c r="I112" s="9">
        <v>8741</v>
      </c>
      <c r="J112" s="23">
        <f t="shared" si="5"/>
        <v>0.99783105022831053</v>
      </c>
      <c r="K112" s="7">
        <v>12</v>
      </c>
      <c r="L112" s="8">
        <f t="shared" si="6"/>
        <v>34.826536438356165</v>
      </c>
      <c r="M112" s="8">
        <f t="shared" si="7"/>
        <v>34.902237638714105</v>
      </c>
    </row>
    <row r="113" spans="1:13" ht="15" customHeight="1" x14ac:dyDescent="0.3">
      <c r="A113" s="6" t="s">
        <v>148</v>
      </c>
      <c r="B113" s="6" t="s">
        <v>85</v>
      </c>
      <c r="C113" s="6" t="s">
        <v>86</v>
      </c>
      <c r="D113" s="6" t="s">
        <v>549</v>
      </c>
      <c r="E113" s="8">
        <v>2018</v>
      </c>
      <c r="F113" s="9">
        <f t="shared" si="4"/>
        <v>12692.8164</v>
      </c>
      <c r="G113" s="8">
        <v>2255.6</v>
      </c>
      <c r="H113" s="8">
        <v>434</v>
      </c>
      <c r="I113" s="9">
        <v>8703</v>
      </c>
      <c r="J113" s="23">
        <f t="shared" si="5"/>
        <v>0.99349315068493149</v>
      </c>
      <c r="K113" s="7">
        <v>12</v>
      </c>
      <c r="L113" s="8">
        <f t="shared" si="6"/>
        <v>34.774839452054792</v>
      </c>
      <c r="M113" s="8">
        <f t="shared" si="7"/>
        <v>35.002596070320578</v>
      </c>
    </row>
    <row r="114" spans="1:13" ht="15" customHeight="1" x14ac:dyDescent="0.3">
      <c r="A114" s="6" t="s">
        <v>401</v>
      </c>
      <c r="B114" s="6" t="s">
        <v>362</v>
      </c>
      <c r="C114" s="6" t="s">
        <v>363</v>
      </c>
      <c r="D114" s="6" t="s">
        <v>549</v>
      </c>
      <c r="E114" s="8">
        <v>1983.7</v>
      </c>
      <c r="F114" s="9">
        <f t="shared" si="4"/>
        <v>12477.07626</v>
      </c>
      <c r="G114" s="8">
        <v>787.5</v>
      </c>
      <c r="H114" s="8">
        <v>22</v>
      </c>
      <c r="I114" s="9">
        <v>4124</v>
      </c>
      <c r="J114" s="23">
        <f t="shared" si="5"/>
        <v>0.47077625570776255</v>
      </c>
      <c r="K114" s="7">
        <v>7</v>
      </c>
      <c r="L114" s="8">
        <f t="shared" si="6"/>
        <v>34.183770575342464</v>
      </c>
      <c r="M114" s="8">
        <f t="shared" si="7"/>
        <v>72.611501028128032</v>
      </c>
    </row>
    <row r="115" spans="1:13" ht="15" customHeight="1" x14ac:dyDescent="0.3">
      <c r="A115" s="6" t="s">
        <v>149</v>
      </c>
      <c r="B115" s="6" t="s">
        <v>150</v>
      </c>
      <c r="C115" s="6" t="s">
        <v>151</v>
      </c>
      <c r="D115" s="6" t="s">
        <v>550</v>
      </c>
      <c r="E115" s="8">
        <v>1945.4</v>
      </c>
      <c r="F115" s="9">
        <f t="shared" si="4"/>
        <v>12236.17692</v>
      </c>
      <c r="G115" s="8">
        <v>1395.7</v>
      </c>
      <c r="H115" s="8">
        <v>464.8</v>
      </c>
      <c r="I115" s="9">
        <v>8492</v>
      </c>
      <c r="J115" s="23">
        <f t="shared" si="5"/>
        <v>0.96940639269406392</v>
      </c>
      <c r="K115" s="7">
        <v>12</v>
      </c>
      <c r="L115" s="8">
        <f t="shared" si="6"/>
        <v>33.523772383561642</v>
      </c>
      <c r="M115" s="8">
        <f t="shared" si="7"/>
        <v>34.581752953367875</v>
      </c>
    </row>
    <row r="116" spans="1:13" ht="15" customHeight="1" x14ac:dyDescent="0.3">
      <c r="A116" s="6" t="s">
        <v>152</v>
      </c>
      <c r="B116" s="6" t="s">
        <v>153</v>
      </c>
      <c r="C116" s="6" t="s">
        <v>154</v>
      </c>
      <c r="D116" s="6" t="s">
        <v>549</v>
      </c>
      <c r="E116" s="8">
        <v>1939.1</v>
      </c>
      <c r="F116" s="9">
        <f t="shared" si="4"/>
        <v>12196.551179999999</v>
      </c>
      <c r="G116" s="8">
        <v>1801.3</v>
      </c>
      <c r="H116" s="8">
        <v>132</v>
      </c>
      <c r="I116" s="9">
        <v>7880</v>
      </c>
      <c r="J116" s="23">
        <f t="shared" si="5"/>
        <v>0.8995433789954338</v>
      </c>
      <c r="K116" s="7">
        <v>12</v>
      </c>
      <c r="L116" s="8">
        <f t="shared" si="6"/>
        <v>33.415208712328763</v>
      </c>
      <c r="M116" s="8">
        <f t="shared" si="7"/>
        <v>37.146856385786798</v>
      </c>
    </row>
    <row r="117" spans="1:13" ht="15" customHeight="1" x14ac:dyDescent="0.3">
      <c r="A117" s="6" t="s">
        <v>155</v>
      </c>
      <c r="B117" s="6" t="s">
        <v>156</v>
      </c>
      <c r="C117" s="6" t="s">
        <v>157</v>
      </c>
      <c r="D117" s="6" t="s">
        <v>551</v>
      </c>
      <c r="E117" s="8">
        <v>1938</v>
      </c>
      <c r="F117" s="9">
        <f t="shared" si="4"/>
        <v>12189.632399999999</v>
      </c>
      <c r="G117" s="8">
        <v>589.70000000000005</v>
      </c>
      <c r="H117" s="8">
        <v>390.3</v>
      </c>
      <c r="I117" s="9">
        <v>8760</v>
      </c>
      <c r="J117" s="23">
        <f t="shared" si="5"/>
        <v>1</v>
      </c>
      <c r="K117" s="7">
        <v>12</v>
      </c>
      <c r="L117" s="8">
        <f t="shared" si="6"/>
        <v>33.396253150684927</v>
      </c>
      <c r="M117" s="8">
        <f t="shared" si="7"/>
        <v>33.396253150684927</v>
      </c>
    </row>
    <row r="118" spans="1:13" ht="15" customHeight="1" x14ac:dyDescent="0.3">
      <c r="A118" s="6" t="s">
        <v>158</v>
      </c>
      <c r="B118" s="6" t="s">
        <v>159</v>
      </c>
      <c r="C118" s="6" t="s">
        <v>160</v>
      </c>
      <c r="D118" s="6" t="s">
        <v>550</v>
      </c>
      <c r="E118" s="8">
        <v>1918.3</v>
      </c>
      <c r="F118" s="9">
        <f t="shared" si="4"/>
        <v>12065.723339999999</v>
      </c>
      <c r="G118" s="8">
        <v>786.9</v>
      </c>
      <c r="H118" s="8">
        <v>376.1</v>
      </c>
      <c r="I118" s="9">
        <v>8572</v>
      </c>
      <c r="J118" s="23">
        <f t="shared" si="5"/>
        <v>0.97853881278538812</v>
      </c>
      <c r="K118" s="7">
        <v>12</v>
      </c>
      <c r="L118" s="8">
        <f t="shared" si="6"/>
        <v>33.056776273972602</v>
      </c>
      <c r="M118" s="8">
        <f t="shared" si="7"/>
        <v>33.781773233784406</v>
      </c>
    </row>
    <row r="119" spans="1:13" ht="15" customHeight="1" x14ac:dyDescent="0.3">
      <c r="A119" s="6" t="s">
        <v>404</v>
      </c>
      <c r="B119" s="6" t="s">
        <v>392</v>
      </c>
      <c r="C119" s="6" t="s">
        <v>393</v>
      </c>
      <c r="D119" s="6" t="s">
        <v>549</v>
      </c>
      <c r="E119" s="8">
        <v>1911.3</v>
      </c>
      <c r="F119" s="9">
        <f t="shared" si="4"/>
        <v>12021.694739999999</v>
      </c>
      <c r="G119" s="8">
        <v>648.79999999999995</v>
      </c>
      <c r="H119" s="8">
        <v>84.4</v>
      </c>
      <c r="I119" s="9">
        <v>7962</v>
      </c>
      <c r="J119" s="23">
        <f t="shared" si="5"/>
        <v>0.90890410958904111</v>
      </c>
      <c r="K119" s="7">
        <v>12</v>
      </c>
      <c r="L119" s="8">
        <f t="shared" si="6"/>
        <v>32.936149972602735</v>
      </c>
      <c r="M119" s="8">
        <f t="shared" si="7"/>
        <v>36.237210972117552</v>
      </c>
    </row>
    <row r="120" spans="1:13" ht="15" customHeight="1" x14ac:dyDescent="0.3">
      <c r="A120" s="6" t="s">
        <v>161</v>
      </c>
      <c r="B120" s="6" t="s">
        <v>120</v>
      </c>
      <c r="C120" s="6" t="s">
        <v>121</v>
      </c>
      <c r="D120" s="6" t="s">
        <v>550</v>
      </c>
      <c r="E120" s="8">
        <v>1861</v>
      </c>
      <c r="F120" s="9">
        <f t="shared" si="4"/>
        <v>11705.317799999999</v>
      </c>
      <c r="G120" s="8">
        <v>3139.6</v>
      </c>
      <c r="H120" s="8">
        <v>365.5</v>
      </c>
      <c r="I120" s="9">
        <v>8664</v>
      </c>
      <c r="J120" s="23">
        <f t="shared" si="5"/>
        <v>0.989041095890411</v>
      </c>
      <c r="K120" s="7">
        <v>12</v>
      </c>
      <c r="L120" s="8">
        <f t="shared" si="6"/>
        <v>32.069363835616436</v>
      </c>
      <c r="M120" s="8">
        <f t="shared" si="7"/>
        <v>32.424703047091413</v>
      </c>
    </row>
    <row r="121" spans="1:13" ht="15" customHeight="1" x14ac:dyDescent="0.3">
      <c r="A121" s="6" t="s">
        <v>162</v>
      </c>
      <c r="B121" s="6" t="s">
        <v>163</v>
      </c>
      <c r="C121" s="6" t="s">
        <v>164</v>
      </c>
      <c r="D121" s="6" t="s">
        <v>551</v>
      </c>
      <c r="E121" s="8">
        <v>1856</v>
      </c>
      <c r="F121" s="9">
        <f t="shared" si="4"/>
        <v>11673.8688</v>
      </c>
      <c r="G121" s="8">
        <v>3491.8</v>
      </c>
      <c r="H121" s="8">
        <v>1002.1</v>
      </c>
      <c r="I121" s="9">
        <v>8672</v>
      </c>
      <c r="J121" s="23">
        <f t="shared" si="5"/>
        <v>0.98995433789954335</v>
      </c>
      <c r="K121" s="7">
        <v>12</v>
      </c>
      <c r="L121" s="8">
        <f t="shared" si="6"/>
        <v>31.983202191780823</v>
      </c>
      <c r="M121" s="8">
        <f t="shared" si="7"/>
        <v>32.30775498154982</v>
      </c>
    </row>
    <row r="122" spans="1:13" ht="15" customHeight="1" x14ac:dyDescent="0.3">
      <c r="A122" s="6" t="s">
        <v>165</v>
      </c>
      <c r="B122" s="6" t="s">
        <v>89</v>
      </c>
      <c r="C122" s="6" t="s">
        <v>90</v>
      </c>
      <c r="D122" s="6" t="s">
        <v>550</v>
      </c>
      <c r="E122" s="8">
        <v>1840.1</v>
      </c>
      <c r="F122" s="9">
        <f t="shared" si="4"/>
        <v>11573.860979999999</v>
      </c>
      <c r="G122" s="8">
        <v>458.9</v>
      </c>
      <c r="H122" s="8">
        <v>575.29999999999995</v>
      </c>
      <c r="I122" s="9">
        <v>7867</v>
      </c>
      <c r="J122" s="23">
        <f t="shared" si="5"/>
        <v>0.89805936073059356</v>
      </c>
      <c r="K122" s="7">
        <v>12</v>
      </c>
      <c r="L122" s="8">
        <f t="shared" si="6"/>
        <v>31.709208164383561</v>
      </c>
      <c r="M122" s="8">
        <f t="shared" si="7"/>
        <v>35.308588219143253</v>
      </c>
    </row>
    <row r="123" spans="1:13" ht="15" customHeight="1" x14ac:dyDescent="0.3">
      <c r="A123" s="6" t="s">
        <v>166</v>
      </c>
      <c r="B123" s="6" t="s">
        <v>153</v>
      </c>
      <c r="C123" s="6" t="s">
        <v>154</v>
      </c>
      <c r="D123" s="6" t="s">
        <v>549</v>
      </c>
      <c r="E123" s="8">
        <v>1803</v>
      </c>
      <c r="F123" s="9">
        <f t="shared" si="4"/>
        <v>11340.509399999999</v>
      </c>
      <c r="G123" s="8">
        <v>1875.3</v>
      </c>
      <c r="H123" s="8">
        <v>50</v>
      </c>
      <c r="I123" s="9">
        <v>7525</v>
      </c>
      <c r="J123" s="23">
        <f t="shared" si="5"/>
        <v>0.85901826484018262</v>
      </c>
      <c r="K123" s="7">
        <v>12</v>
      </c>
      <c r="L123" s="8">
        <f t="shared" si="6"/>
        <v>31.069888767123285</v>
      </c>
      <c r="M123" s="8">
        <f t="shared" si="7"/>
        <v>36.169066524916936</v>
      </c>
    </row>
    <row r="124" spans="1:13" ht="15" customHeight="1" x14ac:dyDescent="0.3">
      <c r="A124" s="6" t="s">
        <v>373</v>
      </c>
      <c r="B124" s="6" t="s">
        <v>371</v>
      </c>
      <c r="C124" s="6" t="s">
        <v>372</v>
      </c>
      <c r="D124" s="6" t="s">
        <v>549</v>
      </c>
      <c r="E124" s="8">
        <v>1786.4</v>
      </c>
      <c r="F124" s="9">
        <f t="shared" si="4"/>
        <v>11236.09872</v>
      </c>
      <c r="G124" s="8">
        <v>682.4</v>
      </c>
      <c r="H124" s="8">
        <v>5.0999999999999996</v>
      </c>
      <c r="I124" s="9">
        <v>6880</v>
      </c>
      <c r="J124" s="23">
        <f t="shared" si="5"/>
        <v>0.78538812785388123</v>
      </c>
      <c r="K124" s="7">
        <v>10</v>
      </c>
      <c r="L124" s="8">
        <f t="shared" si="6"/>
        <v>30.783832109589042</v>
      </c>
      <c r="M124" s="8">
        <f t="shared" si="7"/>
        <v>39.19569320930232</v>
      </c>
    </row>
    <row r="125" spans="1:13" ht="15" customHeight="1" x14ac:dyDescent="0.3">
      <c r="A125" s="6" t="s">
        <v>405</v>
      </c>
      <c r="B125" s="6" t="s">
        <v>406</v>
      </c>
      <c r="C125" s="6" t="s">
        <v>407</v>
      </c>
      <c r="D125" s="6" t="s">
        <v>551</v>
      </c>
      <c r="E125" s="8">
        <v>1767</v>
      </c>
      <c r="F125" s="9">
        <f t="shared" si="4"/>
        <v>11114.076599999999</v>
      </c>
      <c r="G125" s="8">
        <v>414.9</v>
      </c>
      <c r="H125" s="8">
        <v>73.099999999999994</v>
      </c>
      <c r="I125" s="9">
        <v>2187</v>
      </c>
      <c r="J125" s="23">
        <f t="shared" si="5"/>
        <v>0.24965753424657533</v>
      </c>
      <c r="K125" s="7">
        <v>4</v>
      </c>
      <c r="L125" s="8">
        <f t="shared" si="6"/>
        <v>30.449524931506843</v>
      </c>
      <c r="M125" s="8">
        <f t="shared" si="7"/>
        <v>121.96517530864196</v>
      </c>
    </row>
    <row r="126" spans="1:13" ht="15" customHeight="1" x14ac:dyDescent="0.3">
      <c r="A126" s="6" t="s">
        <v>167</v>
      </c>
      <c r="B126" s="6" t="s">
        <v>89</v>
      </c>
      <c r="C126" s="6" t="s">
        <v>90</v>
      </c>
      <c r="D126" s="6" t="s">
        <v>550</v>
      </c>
      <c r="E126" s="8">
        <v>1752.4</v>
      </c>
      <c r="F126" s="9">
        <f t="shared" si="4"/>
        <v>11022.24552</v>
      </c>
      <c r="G126" s="8">
        <v>1182</v>
      </c>
      <c r="H126" s="8">
        <v>1198.2</v>
      </c>
      <c r="I126" s="9">
        <v>8731</v>
      </c>
      <c r="J126" s="23">
        <f t="shared" si="5"/>
        <v>0.99668949771689497</v>
      </c>
      <c r="K126" s="7">
        <v>12</v>
      </c>
      <c r="L126" s="8">
        <f t="shared" si="6"/>
        <v>30.197932931506852</v>
      </c>
      <c r="M126" s="8">
        <f t="shared" si="7"/>
        <v>30.298235308670254</v>
      </c>
    </row>
    <row r="127" spans="1:13" ht="15" customHeight="1" x14ac:dyDescent="0.3">
      <c r="A127" s="6" t="s">
        <v>168</v>
      </c>
      <c r="B127" s="6" t="s">
        <v>169</v>
      </c>
      <c r="C127" s="6" t="s">
        <v>170</v>
      </c>
      <c r="D127" s="6" t="s">
        <v>549</v>
      </c>
      <c r="E127" s="8">
        <v>1715.5</v>
      </c>
      <c r="F127" s="9">
        <f t="shared" si="4"/>
        <v>10790.151899999999</v>
      </c>
      <c r="G127" s="8">
        <v>412.3</v>
      </c>
      <c r="H127" s="8">
        <v>541.70000000000005</v>
      </c>
      <c r="I127" s="9">
        <v>8331</v>
      </c>
      <c r="J127" s="23">
        <f t="shared" si="5"/>
        <v>0.95102739726027397</v>
      </c>
      <c r="K127" s="7">
        <v>12</v>
      </c>
      <c r="L127" s="8">
        <f t="shared" si="6"/>
        <v>29.562059999999995</v>
      </c>
      <c r="M127" s="8">
        <f t="shared" si="7"/>
        <v>31.084341087504498</v>
      </c>
    </row>
    <row r="128" spans="1:13" ht="15" customHeight="1" x14ac:dyDescent="0.3">
      <c r="A128" s="6" t="s">
        <v>171</v>
      </c>
      <c r="B128" s="6" t="s">
        <v>89</v>
      </c>
      <c r="C128" s="6" t="s">
        <v>90</v>
      </c>
      <c r="D128" s="6" t="s">
        <v>550</v>
      </c>
      <c r="E128" s="8">
        <v>1713.5</v>
      </c>
      <c r="F128" s="9">
        <f t="shared" si="4"/>
        <v>10777.5723</v>
      </c>
      <c r="G128" s="8">
        <v>421.3</v>
      </c>
      <c r="H128" s="8">
        <v>473.4</v>
      </c>
      <c r="I128" s="9">
        <v>7891</v>
      </c>
      <c r="J128" s="23">
        <f t="shared" si="5"/>
        <v>0.90079908675799092</v>
      </c>
      <c r="K128" s="7">
        <v>12</v>
      </c>
      <c r="L128" s="8">
        <f t="shared" si="6"/>
        <v>29.527595342465752</v>
      </c>
      <c r="M128" s="8">
        <f t="shared" si="7"/>
        <v>32.779335344062851</v>
      </c>
    </row>
    <row r="129" spans="1:13" ht="15" customHeight="1" x14ac:dyDescent="0.3">
      <c r="A129" s="6" t="s">
        <v>172</v>
      </c>
      <c r="B129" s="6" t="s">
        <v>173</v>
      </c>
      <c r="C129" s="6" t="s">
        <v>174</v>
      </c>
      <c r="D129" s="6" t="s">
        <v>549</v>
      </c>
      <c r="E129" s="8">
        <v>1700.7</v>
      </c>
      <c r="F129" s="9">
        <f t="shared" si="4"/>
        <v>10697.06286</v>
      </c>
      <c r="G129" s="8">
        <v>1575.8</v>
      </c>
      <c r="H129" s="8">
        <v>291</v>
      </c>
      <c r="I129" s="9">
        <v>8568</v>
      </c>
      <c r="J129" s="23">
        <f t="shared" si="5"/>
        <v>0.9780821917808219</v>
      </c>
      <c r="K129" s="7">
        <v>12</v>
      </c>
      <c r="L129" s="8">
        <f t="shared" si="6"/>
        <v>29.307021534246577</v>
      </c>
      <c r="M129" s="8">
        <f t="shared" si="7"/>
        <v>29.963761512605043</v>
      </c>
    </row>
    <row r="130" spans="1:13" ht="15" customHeight="1" x14ac:dyDescent="0.3">
      <c r="A130" s="6" t="s">
        <v>175</v>
      </c>
      <c r="B130" s="6" t="s">
        <v>150</v>
      </c>
      <c r="C130" s="6" t="s">
        <v>151</v>
      </c>
      <c r="D130" s="6" t="s">
        <v>550</v>
      </c>
      <c r="E130" s="8">
        <v>1699.9</v>
      </c>
      <c r="F130" s="9">
        <f t="shared" si="4"/>
        <v>10692.03102</v>
      </c>
      <c r="G130" s="8">
        <v>7558.2</v>
      </c>
      <c r="H130" s="8">
        <v>447.4</v>
      </c>
      <c r="I130" s="9">
        <v>8455</v>
      </c>
      <c r="J130" s="23">
        <f t="shared" si="5"/>
        <v>0.96518264840182644</v>
      </c>
      <c r="K130" s="7">
        <v>12</v>
      </c>
      <c r="L130" s="8">
        <f t="shared" si="6"/>
        <v>29.293235671232878</v>
      </c>
      <c r="M130" s="8">
        <f t="shared" si="7"/>
        <v>30.349940210526317</v>
      </c>
    </row>
    <row r="131" spans="1:13" ht="15" customHeight="1" x14ac:dyDescent="0.3">
      <c r="A131" s="6" t="s">
        <v>374</v>
      </c>
      <c r="B131" s="6" t="s">
        <v>375</v>
      </c>
      <c r="C131" s="6" t="s">
        <v>376</v>
      </c>
      <c r="D131" s="6" t="s">
        <v>551</v>
      </c>
      <c r="E131" s="8">
        <v>1671</v>
      </c>
      <c r="F131" s="9">
        <f t="shared" si="4"/>
        <v>10510.255799999999</v>
      </c>
      <c r="G131" s="8">
        <v>6388.5</v>
      </c>
      <c r="H131" s="8">
        <v>999.8</v>
      </c>
      <c r="I131" s="9">
        <v>7716</v>
      </c>
      <c r="J131" s="23">
        <f t="shared" si="5"/>
        <v>0.88082191780821917</v>
      </c>
      <c r="K131" s="7">
        <v>12</v>
      </c>
      <c r="L131" s="8">
        <f t="shared" si="6"/>
        <v>28.795221369863011</v>
      </c>
      <c r="M131" s="8">
        <f t="shared" si="7"/>
        <v>32.69130886469673</v>
      </c>
    </row>
    <row r="132" spans="1:13" ht="15" customHeight="1" x14ac:dyDescent="0.3">
      <c r="A132" s="6" t="s">
        <v>176</v>
      </c>
      <c r="B132" s="6" t="s">
        <v>138</v>
      </c>
      <c r="C132" s="6" t="s">
        <v>139</v>
      </c>
      <c r="D132" s="6" t="s">
        <v>550</v>
      </c>
      <c r="E132" s="8">
        <v>1634.7</v>
      </c>
      <c r="F132" s="9">
        <f t="shared" si="4"/>
        <v>10281.93606</v>
      </c>
      <c r="G132" s="8">
        <v>646</v>
      </c>
      <c r="H132" s="8">
        <v>630.4</v>
      </c>
      <c r="I132" s="9">
        <v>8759</v>
      </c>
      <c r="J132" s="23">
        <f t="shared" si="5"/>
        <v>0.99988584474885844</v>
      </c>
      <c r="K132" s="7">
        <v>12</v>
      </c>
      <c r="L132" s="8">
        <f t="shared" si="6"/>
        <v>28.16968783561644</v>
      </c>
      <c r="M132" s="8">
        <f t="shared" si="7"/>
        <v>28.172903920538875</v>
      </c>
    </row>
    <row r="133" spans="1:13" ht="15" customHeight="1" x14ac:dyDescent="0.3">
      <c r="A133" s="6" t="s">
        <v>467</v>
      </c>
      <c r="B133" s="6" t="s">
        <v>468</v>
      </c>
      <c r="C133" s="6" t="s">
        <v>469</v>
      </c>
      <c r="D133" s="6" t="s">
        <v>549</v>
      </c>
      <c r="E133" s="8">
        <v>1634</v>
      </c>
      <c r="F133" s="9">
        <f t="shared" ref="F133:F196" si="8">E133*6.2898</f>
        <v>10277.5332</v>
      </c>
      <c r="G133" s="8">
        <v>733.6</v>
      </c>
      <c r="H133" s="8">
        <v>10.8</v>
      </c>
      <c r="I133" s="9">
        <v>1312</v>
      </c>
      <c r="J133" s="23">
        <f t="shared" ref="J133:J196" si="9">I133/(365*24)</f>
        <v>0.14977168949771688</v>
      </c>
      <c r="K133" s="7">
        <v>2</v>
      </c>
      <c r="L133" s="8">
        <f t="shared" ref="L133:L196" si="10">F133/365</f>
        <v>28.157625205479452</v>
      </c>
      <c r="M133" s="8">
        <f t="shared" ref="M133:M196" si="11">IF(I133&gt;0,F133/(I133/24),0)</f>
        <v>188.00365609756099</v>
      </c>
    </row>
    <row r="134" spans="1:13" ht="15" customHeight="1" x14ac:dyDescent="0.3">
      <c r="A134" s="6" t="s">
        <v>177</v>
      </c>
      <c r="B134" s="6" t="s">
        <v>38</v>
      </c>
      <c r="C134" s="6" t="s">
        <v>39</v>
      </c>
      <c r="D134" s="6" t="s">
        <v>550</v>
      </c>
      <c r="E134" s="8">
        <v>1633.5</v>
      </c>
      <c r="F134" s="9">
        <f t="shared" si="8"/>
        <v>10274.388299999999</v>
      </c>
      <c r="G134" s="8">
        <v>5399.3</v>
      </c>
      <c r="H134" s="8">
        <v>736.7</v>
      </c>
      <c r="I134" s="9">
        <v>8362</v>
      </c>
      <c r="J134" s="23">
        <f t="shared" si="9"/>
        <v>0.95456621004566211</v>
      </c>
      <c r="K134" s="7">
        <v>12</v>
      </c>
      <c r="L134" s="8">
        <f t="shared" si="10"/>
        <v>28.149009041095887</v>
      </c>
      <c r="M134" s="8">
        <f t="shared" si="11"/>
        <v>29.488796842860555</v>
      </c>
    </row>
    <row r="135" spans="1:13" ht="15" customHeight="1" x14ac:dyDescent="0.3">
      <c r="A135" s="6" t="s">
        <v>178</v>
      </c>
      <c r="B135" s="6" t="s">
        <v>68</v>
      </c>
      <c r="C135" s="6" t="s">
        <v>69</v>
      </c>
      <c r="D135" s="6" t="s">
        <v>550</v>
      </c>
      <c r="E135" s="8">
        <v>1619.8</v>
      </c>
      <c r="F135" s="9">
        <f t="shared" si="8"/>
        <v>10188.21804</v>
      </c>
      <c r="G135" s="8">
        <v>239.2</v>
      </c>
      <c r="H135" s="8">
        <v>792.7</v>
      </c>
      <c r="I135" s="9">
        <v>8741</v>
      </c>
      <c r="J135" s="23">
        <f t="shared" si="9"/>
        <v>0.99783105022831053</v>
      </c>
      <c r="K135" s="7">
        <v>12</v>
      </c>
      <c r="L135" s="8">
        <f t="shared" si="10"/>
        <v>27.9129261369863</v>
      </c>
      <c r="M135" s="8">
        <f t="shared" si="11"/>
        <v>27.973599469168288</v>
      </c>
    </row>
    <row r="136" spans="1:13" ht="15" customHeight="1" x14ac:dyDescent="0.3">
      <c r="A136" s="6" t="s">
        <v>179</v>
      </c>
      <c r="B136" s="6" t="s">
        <v>169</v>
      </c>
      <c r="C136" s="6" t="s">
        <v>170</v>
      </c>
      <c r="D136" s="6" t="s">
        <v>549</v>
      </c>
      <c r="E136" s="8">
        <v>1577.1</v>
      </c>
      <c r="F136" s="9">
        <f t="shared" si="8"/>
        <v>9919.6435799999981</v>
      </c>
      <c r="G136" s="8">
        <v>481.4</v>
      </c>
      <c r="H136" s="8">
        <v>254.8</v>
      </c>
      <c r="I136" s="9">
        <v>8555</v>
      </c>
      <c r="J136" s="23">
        <f t="shared" si="9"/>
        <v>0.97659817351598177</v>
      </c>
      <c r="K136" s="7">
        <v>12</v>
      </c>
      <c r="L136" s="8">
        <f t="shared" si="10"/>
        <v>27.177105698630132</v>
      </c>
      <c r="M136" s="8">
        <f t="shared" si="11"/>
        <v>27.828339675043829</v>
      </c>
    </row>
    <row r="137" spans="1:13" ht="15" customHeight="1" x14ac:dyDescent="0.3">
      <c r="A137" s="6" t="s">
        <v>180</v>
      </c>
      <c r="B137" s="6" t="s">
        <v>135</v>
      </c>
      <c r="C137" s="6" t="s">
        <v>136</v>
      </c>
      <c r="D137" s="6" t="s">
        <v>550</v>
      </c>
      <c r="E137" s="8">
        <v>1569.1</v>
      </c>
      <c r="F137" s="9">
        <f t="shared" si="8"/>
        <v>9869.325179999998</v>
      </c>
      <c r="G137" s="8">
        <v>626.1</v>
      </c>
      <c r="H137" s="8">
        <v>574.20000000000005</v>
      </c>
      <c r="I137" s="9">
        <v>7704</v>
      </c>
      <c r="J137" s="23">
        <f t="shared" si="9"/>
        <v>0.8794520547945206</v>
      </c>
      <c r="K137" s="7">
        <v>12</v>
      </c>
      <c r="L137" s="8">
        <f t="shared" si="10"/>
        <v>27.039247068493147</v>
      </c>
      <c r="M137" s="8">
        <f t="shared" si="11"/>
        <v>30.745561308411208</v>
      </c>
    </row>
    <row r="138" spans="1:13" ht="15" customHeight="1" x14ac:dyDescent="0.3">
      <c r="A138" s="6" t="s">
        <v>181</v>
      </c>
      <c r="B138" s="6" t="s">
        <v>182</v>
      </c>
      <c r="C138" s="6" t="s">
        <v>183</v>
      </c>
      <c r="D138" s="6" t="s">
        <v>550</v>
      </c>
      <c r="E138" s="8">
        <v>1524.4</v>
      </c>
      <c r="F138" s="9">
        <f t="shared" si="8"/>
        <v>9588.1711200000009</v>
      </c>
      <c r="G138" s="8">
        <v>306.8</v>
      </c>
      <c r="H138" s="8">
        <v>915.6</v>
      </c>
      <c r="I138" s="9">
        <v>8492</v>
      </c>
      <c r="J138" s="23">
        <f t="shared" si="9"/>
        <v>0.96940639269406392</v>
      </c>
      <c r="K138" s="7">
        <v>12</v>
      </c>
      <c r="L138" s="8">
        <f t="shared" si="10"/>
        <v>26.268961972602742</v>
      </c>
      <c r="M138" s="8">
        <f t="shared" si="11"/>
        <v>27.097987150259073</v>
      </c>
    </row>
    <row r="139" spans="1:13" ht="15" customHeight="1" x14ac:dyDescent="0.3">
      <c r="A139" s="6" t="s">
        <v>184</v>
      </c>
      <c r="B139" s="6" t="s">
        <v>185</v>
      </c>
      <c r="C139" s="6" t="s">
        <v>186</v>
      </c>
      <c r="D139" s="6" t="s">
        <v>549</v>
      </c>
      <c r="E139" s="8">
        <v>1518.4</v>
      </c>
      <c r="F139" s="9">
        <f t="shared" si="8"/>
        <v>9550.4323199999999</v>
      </c>
      <c r="G139" s="8">
        <v>2853</v>
      </c>
      <c r="H139" s="8">
        <v>453.4</v>
      </c>
      <c r="I139" s="9">
        <v>8727</v>
      </c>
      <c r="J139" s="23">
        <f t="shared" si="9"/>
        <v>0.99623287671232874</v>
      </c>
      <c r="K139" s="7">
        <v>12</v>
      </c>
      <c r="L139" s="8">
        <f t="shared" si="10"/>
        <v>26.165568</v>
      </c>
      <c r="M139" s="8">
        <f t="shared" si="11"/>
        <v>26.264509645926434</v>
      </c>
    </row>
    <row r="140" spans="1:13" ht="15" customHeight="1" x14ac:dyDescent="0.3">
      <c r="A140" s="6" t="s">
        <v>472</v>
      </c>
      <c r="B140" s="6" t="s">
        <v>468</v>
      </c>
      <c r="C140" s="6" t="s">
        <v>469</v>
      </c>
      <c r="D140" s="6" t="s">
        <v>549</v>
      </c>
      <c r="E140" s="8">
        <v>1518.3</v>
      </c>
      <c r="F140" s="9">
        <f t="shared" si="8"/>
        <v>9549.8033399999986</v>
      </c>
      <c r="G140" s="8">
        <v>693.6</v>
      </c>
      <c r="H140" s="8">
        <v>12.4</v>
      </c>
      <c r="I140" s="9">
        <v>1100</v>
      </c>
      <c r="J140" s="23">
        <f t="shared" si="9"/>
        <v>0.12557077625570776</v>
      </c>
      <c r="K140" s="7">
        <v>2</v>
      </c>
      <c r="L140" s="8">
        <f t="shared" si="10"/>
        <v>26.163844767123283</v>
      </c>
      <c r="M140" s="8">
        <f t="shared" si="11"/>
        <v>208.35934559999995</v>
      </c>
    </row>
    <row r="141" spans="1:13" ht="15" customHeight="1" x14ac:dyDescent="0.3">
      <c r="A141" s="6" t="s">
        <v>187</v>
      </c>
      <c r="B141" s="6" t="s">
        <v>169</v>
      </c>
      <c r="C141" s="6" t="s">
        <v>170</v>
      </c>
      <c r="D141" s="6" t="s">
        <v>549</v>
      </c>
      <c r="E141" s="8">
        <v>1484.6</v>
      </c>
      <c r="F141" s="9">
        <f t="shared" si="8"/>
        <v>9337.8370799999993</v>
      </c>
      <c r="G141" s="8">
        <v>384.4</v>
      </c>
      <c r="H141" s="8">
        <v>698.1</v>
      </c>
      <c r="I141" s="9">
        <v>8690</v>
      </c>
      <c r="J141" s="23">
        <f t="shared" si="9"/>
        <v>0.99200913242009137</v>
      </c>
      <c r="K141" s="7">
        <v>12</v>
      </c>
      <c r="L141" s="8">
        <f t="shared" si="10"/>
        <v>25.58311528767123</v>
      </c>
      <c r="M141" s="8">
        <f t="shared" si="11"/>
        <v>25.789193316455695</v>
      </c>
    </row>
    <row r="142" spans="1:13" ht="15" customHeight="1" x14ac:dyDescent="0.3">
      <c r="A142" s="6" t="s">
        <v>188</v>
      </c>
      <c r="B142" s="6" t="s">
        <v>132</v>
      </c>
      <c r="C142" s="6" t="s">
        <v>133</v>
      </c>
      <c r="D142" s="6" t="s">
        <v>550</v>
      </c>
      <c r="E142" s="8">
        <v>1467.5</v>
      </c>
      <c r="F142" s="9">
        <f t="shared" si="8"/>
        <v>9230.2814999999991</v>
      </c>
      <c r="G142" s="8">
        <v>237.4</v>
      </c>
      <c r="H142" s="8">
        <v>1373.8</v>
      </c>
      <c r="I142" s="9">
        <v>8545</v>
      </c>
      <c r="J142" s="23">
        <f t="shared" si="9"/>
        <v>0.9754566210045662</v>
      </c>
      <c r="K142" s="7">
        <v>12</v>
      </c>
      <c r="L142" s="8">
        <f t="shared" si="10"/>
        <v>25.288442465753423</v>
      </c>
      <c r="M142" s="8">
        <f t="shared" si="11"/>
        <v>25.924722761849029</v>
      </c>
    </row>
    <row r="143" spans="1:13" ht="15" customHeight="1" x14ac:dyDescent="0.3">
      <c r="A143" s="6" t="s">
        <v>189</v>
      </c>
      <c r="B143" s="6" t="s">
        <v>38</v>
      </c>
      <c r="C143" s="6" t="s">
        <v>39</v>
      </c>
      <c r="D143" s="6" t="s">
        <v>550</v>
      </c>
      <c r="E143" s="8">
        <v>1448.5</v>
      </c>
      <c r="F143" s="9">
        <f t="shared" si="8"/>
        <v>9110.7752999999993</v>
      </c>
      <c r="G143" s="8">
        <v>5940.4</v>
      </c>
      <c r="H143" s="8">
        <v>772.8</v>
      </c>
      <c r="I143" s="9">
        <v>8541</v>
      </c>
      <c r="J143" s="23">
        <f t="shared" si="9"/>
        <v>0.97499999999999998</v>
      </c>
      <c r="K143" s="7">
        <v>12</v>
      </c>
      <c r="L143" s="8">
        <f t="shared" si="10"/>
        <v>24.961028219178079</v>
      </c>
      <c r="M143" s="8">
        <f t="shared" si="11"/>
        <v>25.601054583772392</v>
      </c>
    </row>
    <row r="144" spans="1:13" ht="15" customHeight="1" x14ac:dyDescent="0.3">
      <c r="A144" s="6" t="s">
        <v>190</v>
      </c>
      <c r="B144" s="6" t="s">
        <v>85</v>
      </c>
      <c r="C144" s="6" t="s">
        <v>86</v>
      </c>
      <c r="D144" s="6" t="s">
        <v>549</v>
      </c>
      <c r="E144" s="8">
        <v>1443.2</v>
      </c>
      <c r="F144" s="9">
        <f t="shared" si="8"/>
        <v>9077.4393600000003</v>
      </c>
      <c r="G144" s="8">
        <v>1579.8</v>
      </c>
      <c r="H144" s="8">
        <v>1184.0999999999999</v>
      </c>
      <c r="I144" s="9">
        <v>7993</v>
      </c>
      <c r="J144" s="23">
        <f t="shared" si="9"/>
        <v>0.91244292237442925</v>
      </c>
      <c r="K144" s="7">
        <v>12</v>
      </c>
      <c r="L144" s="8">
        <f t="shared" si="10"/>
        <v>24.869696876712329</v>
      </c>
      <c r="M144" s="8">
        <f t="shared" si="11"/>
        <v>27.256167226323033</v>
      </c>
    </row>
    <row r="145" spans="1:13" ht="15" customHeight="1" x14ac:dyDescent="0.3">
      <c r="A145" s="6" t="s">
        <v>191</v>
      </c>
      <c r="B145" s="6" t="s">
        <v>192</v>
      </c>
      <c r="C145" s="6" t="s">
        <v>193</v>
      </c>
      <c r="D145" s="6" t="s">
        <v>552</v>
      </c>
      <c r="E145" s="8">
        <v>1435.8</v>
      </c>
      <c r="F145" s="9">
        <f t="shared" si="8"/>
        <v>9030.894839999999</v>
      </c>
      <c r="G145" s="8">
        <v>3580</v>
      </c>
      <c r="H145" s="8">
        <v>304.2</v>
      </c>
      <c r="I145" s="9">
        <v>7933</v>
      </c>
      <c r="J145" s="23">
        <f t="shared" si="9"/>
        <v>0.90559360730593608</v>
      </c>
      <c r="K145" s="7">
        <v>12</v>
      </c>
      <c r="L145" s="8">
        <f t="shared" si="10"/>
        <v>24.742177643835614</v>
      </c>
      <c r="M145" s="8">
        <f t="shared" si="11"/>
        <v>27.321502100088235</v>
      </c>
    </row>
    <row r="146" spans="1:13" ht="15" customHeight="1" x14ac:dyDescent="0.3">
      <c r="A146" s="6" t="s">
        <v>194</v>
      </c>
      <c r="B146" s="6" t="s">
        <v>195</v>
      </c>
      <c r="C146" s="6" t="s">
        <v>196</v>
      </c>
      <c r="D146" s="6" t="s">
        <v>551</v>
      </c>
      <c r="E146" s="8">
        <v>1433.3</v>
      </c>
      <c r="F146" s="9">
        <f t="shared" si="8"/>
        <v>9015.1703399999988</v>
      </c>
      <c r="G146" s="8">
        <v>79</v>
      </c>
      <c r="H146" s="8">
        <v>236</v>
      </c>
      <c r="I146" s="9">
        <v>8332</v>
      </c>
      <c r="J146" s="23">
        <f t="shared" si="9"/>
        <v>0.95114155251141552</v>
      </c>
      <c r="K146" s="7">
        <v>12</v>
      </c>
      <c r="L146" s="8">
        <f t="shared" si="10"/>
        <v>24.699096821917806</v>
      </c>
      <c r="M146" s="8">
        <f t="shared" si="11"/>
        <v>25.96784543446951</v>
      </c>
    </row>
    <row r="147" spans="1:13" ht="15" customHeight="1" x14ac:dyDescent="0.3">
      <c r="A147" s="6" t="s">
        <v>473</v>
      </c>
      <c r="B147" s="6" t="s">
        <v>468</v>
      </c>
      <c r="C147" s="6" t="s">
        <v>469</v>
      </c>
      <c r="D147" s="6" t="s">
        <v>549</v>
      </c>
      <c r="E147" s="8">
        <v>1428.2</v>
      </c>
      <c r="F147" s="9">
        <f t="shared" si="8"/>
        <v>8983.0923600000006</v>
      </c>
      <c r="G147" s="8">
        <v>877.5</v>
      </c>
      <c r="H147" s="8">
        <v>13</v>
      </c>
      <c r="I147" s="9">
        <v>1206</v>
      </c>
      <c r="J147" s="23">
        <f t="shared" si="9"/>
        <v>0.13767123287671232</v>
      </c>
      <c r="K147" s="7">
        <v>2</v>
      </c>
      <c r="L147" s="8">
        <f t="shared" si="10"/>
        <v>24.611211945205483</v>
      </c>
      <c r="M147" s="8">
        <f t="shared" si="11"/>
        <v>178.76800716417912</v>
      </c>
    </row>
    <row r="148" spans="1:13" ht="15" customHeight="1" x14ac:dyDescent="0.3">
      <c r="A148" s="6" t="s">
        <v>197</v>
      </c>
      <c r="B148" s="6" t="s">
        <v>198</v>
      </c>
      <c r="C148" s="6" t="s">
        <v>199</v>
      </c>
      <c r="D148" s="6" t="s">
        <v>552</v>
      </c>
      <c r="E148" s="8">
        <v>1427.2</v>
      </c>
      <c r="F148" s="9">
        <f t="shared" si="8"/>
        <v>8976.8025600000001</v>
      </c>
      <c r="G148" s="8">
        <v>3150</v>
      </c>
      <c r="H148" s="8">
        <v>29</v>
      </c>
      <c r="I148" s="9">
        <v>7846</v>
      </c>
      <c r="J148" s="23">
        <f t="shared" si="9"/>
        <v>0.89566210045662098</v>
      </c>
      <c r="K148" s="7">
        <v>12</v>
      </c>
      <c r="L148" s="8">
        <f t="shared" si="10"/>
        <v>24.593979616438357</v>
      </c>
      <c r="M148" s="8">
        <f t="shared" si="11"/>
        <v>27.458993301045115</v>
      </c>
    </row>
    <row r="149" spans="1:13" ht="15" customHeight="1" x14ac:dyDescent="0.3">
      <c r="A149" s="6" t="s">
        <v>200</v>
      </c>
      <c r="B149" s="6" t="s">
        <v>169</v>
      </c>
      <c r="C149" s="6" t="s">
        <v>170</v>
      </c>
      <c r="D149" s="6" t="s">
        <v>549</v>
      </c>
      <c r="E149" s="8">
        <v>1426.9</v>
      </c>
      <c r="F149" s="9">
        <f t="shared" si="8"/>
        <v>8974.9156199999998</v>
      </c>
      <c r="G149" s="8">
        <v>536.1</v>
      </c>
      <c r="H149" s="8">
        <v>564.5</v>
      </c>
      <c r="I149" s="9">
        <v>8483</v>
      </c>
      <c r="J149" s="23">
        <f t="shared" si="9"/>
        <v>0.96837899543378991</v>
      </c>
      <c r="K149" s="7">
        <v>12</v>
      </c>
      <c r="L149" s="8">
        <f t="shared" si="10"/>
        <v>24.58880991780822</v>
      </c>
      <c r="M149" s="8">
        <f t="shared" si="11"/>
        <v>25.391721664505482</v>
      </c>
    </row>
    <row r="150" spans="1:13" ht="15" customHeight="1" x14ac:dyDescent="0.3">
      <c r="A150" s="6" t="s">
        <v>201</v>
      </c>
      <c r="B150" s="6" t="s">
        <v>150</v>
      </c>
      <c r="C150" s="6" t="s">
        <v>151</v>
      </c>
      <c r="D150" s="6" t="s">
        <v>550</v>
      </c>
      <c r="E150" s="8">
        <v>1403.5</v>
      </c>
      <c r="F150" s="9">
        <f t="shared" si="8"/>
        <v>8827.7343000000001</v>
      </c>
      <c r="G150" s="8">
        <v>2950.3</v>
      </c>
      <c r="H150" s="8">
        <v>187.1</v>
      </c>
      <c r="I150" s="9">
        <v>8237</v>
      </c>
      <c r="J150" s="23">
        <f t="shared" si="9"/>
        <v>0.94029680365296808</v>
      </c>
      <c r="K150" s="7">
        <v>12</v>
      </c>
      <c r="L150" s="8">
        <f t="shared" si="10"/>
        <v>24.185573424657534</v>
      </c>
      <c r="M150" s="8">
        <f t="shared" si="11"/>
        <v>25.721211994658251</v>
      </c>
    </row>
    <row r="151" spans="1:13" ht="15" customHeight="1" x14ac:dyDescent="0.3">
      <c r="A151" s="6" t="s">
        <v>202</v>
      </c>
      <c r="B151" s="6" t="s">
        <v>85</v>
      </c>
      <c r="C151" s="6" t="s">
        <v>86</v>
      </c>
      <c r="D151" s="6" t="s">
        <v>549</v>
      </c>
      <c r="E151" s="8">
        <v>1391.9</v>
      </c>
      <c r="F151" s="9">
        <f t="shared" si="8"/>
        <v>8754.7726199999997</v>
      </c>
      <c r="G151" s="8">
        <v>672</v>
      </c>
      <c r="H151" s="8">
        <v>3576.7</v>
      </c>
      <c r="I151" s="9">
        <v>8264</v>
      </c>
      <c r="J151" s="23">
        <f t="shared" si="9"/>
        <v>0.94337899543379</v>
      </c>
      <c r="K151" s="7">
        <v>12</v>
      </c>
      <c r="L151" s="8">
        <f t="shared" si="10"/>
        <v>23.985678410958904</v>
      </c>
      <c r="M151" s="8">
        <f t="shared" si="11"/>
        <v>25.425283504356244</v>
      </c>
    </row>
    <row r="152" spans="1:13" ht="15" customHeight="1" x14ac:dyDescent="0.3">
      <c r="A152" s="6" t="s">
        <v>203</v>
      </c>
      <c r="B152" s="6" t="s">
        <v>150</v>
      </c>
      <c r="C152" s="6" t="s">
        <v>151</v>
      </c>
      <c r="D152" s="6" t="s">
        <v>550</v>
      </c>
      <c r="E152" s="8">
        <v>1389.1</v>
      </c>
      <c r="F152" s="9">
        <f t="shared" si="8"/>
        <v>8737.1611799999991</v>
      </c>
      <c r="G152" s="8">
        <v>5835</v>
      </c>
      <c r="H152" s="8">
        <v>317.5</v>
      </c>
      <c r="I152" s="9">
        <v>8429</v>
      </c>
      <c r="J152" s="23">
        <f t="shared" si="9"/>
        <v>0.96221461187214608</v>
      </c>
      <c r="K152" s="7">
        <v>12</v>
      </c>
      <c r="L152" s="8">
        <f t="shared" si="10"/>
        <v>23.937427890410955</v>
      </c>
      <c r="M152" s="8">
        <f t="shared" si="11"/>
        <v>24.877431287222681</v>
      </c>
    </row>
    <row r="153" spans="1:13" ht="15" customHeight="1" x14ac:dyDescent="0.3">
      <c r="A153" s="6" t="s">
        <v>204</v>
      </c>
      <c r="B153" s="6" t="s">
        <v>115</v>
      </c>
      <c r="C153" s="6" t="s">
        <v>116</v>
      </c>
      <c r="D153" s="6" t="s">
        <v>549</v>
      </c>
      <c r="E153" s="8">
        <v>1388</v>
      </c>
      <c r="F153" s="9">
        <f t="shared" si="8"/>
        <v>8730.2423999999992</v>
      </c>
      <c r="G153" s="8">
        <v>1259.5999999999999</v>
      </c>
      <c r="H153" s="8">
        <v>157.19999999999999</v>
      </c>
      <c r="I153" s="9">
        <v>8196</v>
      </c>
      <c r="J153" s="23">
        <f t="shared" si="9"/>
        <v>0.93561643835616437</v>
      </c>
      <c r="K153" s="7">
        <v>12</v>
      </c>
      <c r="L153" s="8">
        <f t="shared" si="10"/>
        <v>23.91847232876712</v>
      </c>
      <c r="M153" s="8">
        <f t="shared" si="11"/>
        <v>25.564399414348461</v>
      </c>
    </row>
    <row r="154" spans="1:13" ht="15" customHeight="1" x14ac:dyDescent="0.3">
      <c r="A154" s="6" t="s">
        <v>205</v>
      </c>
      <c r="B154" s="6" t="s">
        <v>206</v>
      </c>
      <c r="C154" s="6" t="s">
        <v>207</v>
      </c>
      <c r="D154" s="6" t="s">
        <v>550</v>
      </c>
      <c r="E154" s="8">
        <v>1383.3</v>
      </c>
      <c r="F154" s="9">
        <f t="shared" si="8"/>
        <v>8700.680339999999</v>
      </c>
      <c r="G154" s="8">
        <v>85.5</v>
      </c>
      <c r="H154" s="8">
        <v>1375.6</v>
      </c>
      <c r="I154" s="9">
        <v>8744</v>
      </c>
      <c r="J154" s="23">
        <f t="shared" si="9"/>
        <v>0.9981735159817352</v>
      </c>
      <c r="K154" s="7">
        <v>12</v>
      </c>
      <c r="L154" s="8">
        <f t="shared" si="10"/>
        <v>23.83748038356164</v>
      </c>
      <c r="M154" s="8">
        <f t="shared" si="11"/>
        <v>23.881098828911252</v>
      </c>
    </row>
    <row r="155" spans="1:13" ht="15" customHeight="1" x14ac:dyDescent="0.3">
      <c r="A155" s="6" t="s">
        <v>208</v>
      </c>
      <c r="B155" s="6" t="s">
        <v>169</v>
      </c>
      <c r="C155" s="6" t="s">
        <v>170</v>
      </c>
      <c r="D155" s="6" t="s">
        <v>549</v>
      </c>
      <c r="E155" s="8">
        <v>1374.8</v>
      </c>
      <c r="F155" s="9">
        <f t="shared" si="8"/>
        <v>8647.2170399999995</v>
      </c>
      <c r="G155" s="8">
        <v>528.4</v>
      </c>
      <c r="H155" s="8">
        <v>926.2</v>
      </c>
      <c r="I155" s="9">
        <v>8706</v>
      </c>
      <c r="J155" s="23">
        <f t="shared" si="9"/>
        <v>0.99383561643835616</v>
      </c>
      <c r="K155" s="7">
        <v>12</v>
      </c>
      <c r="L155" s="8">
        <f t="shared" si="10"/>
        <v>23.691005589041094</v>
      </c>
      <c r="M155" s="8">
        <f t="shared" si="11"/>
        <v>23.837951867677461</v>
      </c>
    </row>
    <row r="156" spans="1:13" ht="15" customHeight="1" x14ac:dyDescent="0.3">
      <c r="A156" s="6" t="s">
        <v>209</v>
      </c>
      <c r="B156" s="6" t="s">
        <v>169</v>
      </c>
      <c r="C156" s="6" t="s">
        <v>170</v>
      </c>
      <c r="D156" s="6" t="s">
        <v>549</v>
      </c>
      <c r="E156" s="8">
        <v>1371.2</v>
      </c>
      <c r="F156" s="9">
        <f t="shared" si="8"/>
        <v>8624.5737599999993</v>
      </c>
      <c r="G156" s="8">
        <v>407.5</v>
      </c>
      <c r="H156" s="8">
        <v>834</v>
      </c>
      <c r="I156" s="9">
        <v>8654</v>
      </c>
      <c r="J156" s="23">
        <f t="shared" si="9"/>
        <v>0.98789954337899544</v>
      </c>
      <c r="K156" s="7">
        <v>12</v>
      </c>
      <c r="L156" s="8">
        <f t="shared" si="10"/>
        <v>23.62896920547945</v>
      </c>
      <c r="M156" s="8">
        <f t="shared" si="11"/>
        <v>23.918392678530157</v>
      </c>
    </row>
    <row r="157" spans="1:13" ht="15" customHeight="1" x14ac:dyDescent="0.3">
      <c r="A157" s="6" t="s">
        <v>210</v>
      </c>
      <c r="B157" s="6" t="s">
        <v>65</v>
      </c>
      <c r="C157" s="6" t="s">
        <v>39</v>
      </c>
      <c r="D157" s="6" t="s">
        <v>549</v>
      </c>
      <c r="E157" s="8">
        <v>1369.4</v>
      </c>
      <c r="F157" s="9">
        <f t="shared" si="8"/>
        <v>8613.2521199999992</v>
      </c>
      <c r="G157" s="8">
        <v>4371.1000000000004</v>
      </c>
      <c r="H157" s="8">
        <v>310.5</v>
      </c>
      <c r="I157" s="9">
        <v>8474</v>
      </c>
      <c r="J157" s="23">
        <f t="shared" si="9"/>
        <v>0.96735159817351601</v>
      </c>
      <c r="K157" s="7">
        <v>12</v>
      </c>
      <c r="L157" s="8">
        <f t="shared" si="10"/>
        <v>23.597951013698626</v>
      </c>
      <c r="M157" s="8">
        <f t="shared" si="11"/>
        <v>24.394388822279915</v>
      </c>
    </row>
    <row r="158" spans="1:13" ht="15" customHeight="1" x14ac:dyDescent="0.3">
      <c r="A158" s="6" t="s">
        <v>211</v>
      </c>
      <c r="B158" s="6" t="s">
        <v>212</v>
      </c>
      <c r="C158" s="6" t="s">
        <v>213</v>
      </c>
      <c r="D158" s="6" t="s">
        <v>549</v>
      </c>
      <c r="E158" s="8">
        <v>1347.9</v>
      </c>
      <c r="F158" s="9">
        <f t="shared" si="8"/>
        <v>8478.0214200000009</v>
      </c>
      <c r="G158" s="8">
        <v>6677.4</v>
      </c>
      <c r="H158" s="8">
        <v>89.9</v>
      </c>
      <c r="I158" s="9">
        <v>8129</v>
      </c>
      <c r="J158" s="23">
        <f t="shared" si="9"/>
        <v>0.92796803652968041</v>
      </c>
      <c r="K158" s="7">
        <v>12</v>
      </c>
      <c r="L158" s="8">
        <f t="shared" si="10"/>
        <v>23.227455945205481</v>
      </c>
      <c r="M158" s="8">
        <f t="shared" si="11"/>
        <v>25.030448281461439</v>
      </c>
    </row>
    <row r="159" spans="1:13" ht="15" customHeight="1" x14ac:dyDescent="0.3">
      <c r="A159" s="6" t="s">
        <v>214</v>
      </c>
      <c r="B159" s="6" t="s">
        <v>215</v>
      </c>
      <c r="C159" s="6" t="s">
        <v>193</v>
      </c>
      <c r="D159" s="6" t="s">
        <v>551</v>
      </c>
      <c r="E159" s="8">
        <v>1346.4</v>
      </c>
      <c r="F159" s="9">
        <f t="shared" si="8"/>
        <v>8468.5867199999993</v>
      </c>
      <c r="G159" s="8">
        <v>2078</v>
      </c>
      <c r="H159" s="8">
        <v>105.4</v>
      </c>
      <c r="I159" s="9">
        <v>8470</v>
      </c>
      <c r="J159" s="23">
        <f t="shared" si="9"/>
        <v>0.96689497716894979</v>
      </c>
      <c r="K159" s="7">
        <v>12</v>
      </c>
      <c r="L159" s="8">
        <f t="shared" si="10"/>
        <v>23.201607452054791</v>
      </c>
      <c r="M159" s="8">
        <f t="shared" si="11"/>
        <v>23.995995428571426</v>
      </c>
    </row>
    <row r="160" spans="1:13" ht="15" customHeight="1" x14ac:dyDescent="0.3">
      <c r="A160" s="6" t="s">
        <v>216</v>
      </c>
      <c r="B160" s="6" t="s">
        <v>217</v>
      </c>
      <c r="C160" s="6" t="s">
        <v>218</v>
      </c>
      <c r="D160" s="6" t="s">
        <v>550</v>
      </c>
      <c r="E160" s="8">
        <v>1325.1</v>
      </c>
      <c r="F160" s="9">
        <f t="shared" si="8"/>
        <v>8334.6139799999983</v>
      </c>
      <c r="G160" s="8">
        <v>790.6</v>
      </c>
      <c r="H160" s="8">
        <v>695.5</v>
      </c>
      <c r="I160" s="9">
        <v>8652</v>
      </c>
      <c r="J160" s="23">
        <f t="shared" si="9"/>
        <v>0.98767123287671232</v>
      </c>
      <c r="K160" s="7">
        <v>12</v>
      </c>
      <c r="L160" s="8">
        <f t="shared" si="10"/>
        <v>22.834558849315062</v>
      </c>
      <c r="M160" s="8">
        <f t="shared" si="11"/>
        <v>23.119594951456307</v>
      </c>
    </row>
    <row r="161" spans="1:13" ht="15" customHeight="1" x14ac:dyDescent="0.3">
      <c r="A161" s="6" t="s">
        <v>219</v>
      </c>
      <c r="B161" s="6" t="s">
        <v>138</v>
      </c>
      <c r="C161" s="6" t="s">
        <v>139</v>
      </c>
      <c r="D161" s="6" t="s">
        <v>550</v>
      </c>
      <c r="E161" s="8">
        <v>1322.5</v>
      </c>
      <c r="F161" s="9">
        <f t="shared" si="8"/>
        <v>8318.2605000000003</v>
      </c>
      <c r="G161" s="8">
        <v>1441.8</v>
      </c>
      <c r="H161" s="8">
        <v>1198.0999999999999</v>
      </c>
      <c r="I161" s="9">
        <v>8732</v>
      </c>
      <c r="J161" s="23">
        <f t="shared" si="9"/>
        <v>0.99680365296803652</v>
      </c>
      <c r="K161" s="7">
        <v>12</v>
      </c>
      <c r="L161" s="8">
        <f t="shared" si="10"/>
        <v>22.789754794520547</v>
      </c>
      <c r="M161" s="8">
        <f t="shared" si="11"/>
        <v>22.862832340815395</v>
      </c>
    </row>
    <row r="162" spans="1:13" ht="15" customHeight="1" x14ac:dyDescent="0.3">
      <c r="A162" s="6" t="s">
        <v>220</v>
      </c>
      <c r="B162" s="6" t="s">
        <v>115</v>
      </c>
      <c r="C162" s="6" t="s">
        <v>116</v>
      </c>
      <c r="D162" s="6" t="s">
        <v>549</v>
      </c>
      <c r="E162" s="8">
        <v>1321.3</v>
      </c>
      <c r="F162" s="9">
        <f t="shared" si="8"/>
        <v>8310.712739999999</v>
      </c>
      <c r="G162" s="8">
        <v>1173.8</v>
      </c>
      <c r="H162" s="8">
        <v>275.3</v>
      </c>
      <c r="I162" s="9">
        <v>8253</v>
      </c>
      <c r="J162" s="23">
        <f t="shared" si="9"/>
        <v>0.94212328767123288</v>
      </c>
      <c r="K162" s="7">
        <v>12</v>
      </c>
      <c r="L162" s="8">
        <f t="shared" si="10"/>
        <v>22.769075999999998</v>
      </c>
      <c r="M162" s="8">
        <f t="shared" si="11"/>
        <v>24.167830577971642</v>
      </c>
    </row>
    <row r="163" spans="1:13" ht="15" customHeight="1" x14ac:dyDescent="0.3">
      <c r="A163" s="6" t="s">
        <v>221</v>
      </c>
      <c r="B163" s="6" t="s">
        <v>206</v>
      </c>
      <c r="C163" s="6" t="s">
        <v>207</v>
      </c>
      <c r="D163" s="6" t="s">
        <v>550</v>
      </c>
      <c r="E163" s="8">
        <v>1311.6</v>
      </c>
      <c r="F163" s="9">
        <f t="shared" si="8"/>
        <v>8249.7016799999983</v>
      </c>
      <c r="G163" s="8">
        <v>2472.9</v>
      </c>
      <c r="H163" s="8">
        <v>1087.7</v>
      </c>
      <c r="I163" s="9">
        <v>8748</v>
      </c>
      <c r="J163" s="23">
        <f t="shared" si="9"/>
        <v>0.99863013698630132</v>
      </c>
      <c r="K163" s="7">
        <v>12</v>
      </c>
      <c r="L163" s="8">
        <f t="shared" si="10"/>
        <v>22.601922410958899</v>
      </c>
      <c r="M163" s="8">
        <f t="shared" si="11"/>
        <v>22.632926419753083</v>
      </c>
    </row>
    <row r="164" spans="1:13" ht="15" customHeight="1" x14ac:dyDescent="0.3">
      <c r="A164" s="6" t="s">
        <v>222</v>
      </c>
      <c r="B164" s="6" t="s">
        <v>159</v>
      </c>
      <c r="C164" s="6" t="s">
        <v>160</v>
      </c>
      <c r="D164" s="6" t="s">
        <v>550</v>
      </c>
      <c r="E164" s="8">
        <v>1280.7</v>
      </c>
      <c r="F164" s="9">
        <f t="shared" si="8"/>
        <v>8055.3468599999997</v>
      </c>
      <c r="G164" s="8">
        <v>1726.3</v>
      </c>
      <c r="H164" s="8">
        <v>1065.9000000000001</v>
      </c>
      <c r="I164" s="9">
        <v>8415</v>
      </c>
      <c r="J164" s="23">
        <f t="shared" si="9"/>
        <v>0.96061643835616439</v>
      </c>
      <c r="K164" s="7">
        <v>12</v>
      </c>
      <c r="L164" s="8">
        <f t="shared" si="10"/>
        <v>22.069443452054795</v>
      </c>
      <c r="M164" s="8">
        <f t="shared" si="11"/>
        <v>22.974251294117646</v>
      </c>
    </row>
    <row r="165" spans="1:13" ht="15" customHeight="1" x14ac:dyDescent="0.3">
      <c r="A165" s="6" t="s">
        <v>223</v>
      </c>
      <c r="B165" s="6" t="s">
        <v>169</v>
      </c>
      <c r="C165" s="6" t="s">
        <v>170</v>
      </c>
      <c r="D165" s="6" t="s">
        <v>549</v>
      </c>
      <c r="E165" s="8">
        <v>1279</v>
      </c>
      <c r="F165" s="9">
        <f t="shared" si="8"/>
        <v>8044.6541999999999</v>
      </c>
      <c r="G165" s="8">
        <v>390.4</v>
      </c>
      <c r="H165" s="8">
        <v>54.5</v>
      </c>
      <c r="I165" s="9">
        <v>8553</v>
      </c>
      <c r="J165" s="23">
        <f t="shared" si="9"/>
        <v>0.97636986301369866</v>
      </c>
      <c r="K165" s="7">
        <v>12</v>
      </c>
      <c r="L165" s="8">
        <f t="shared" si="10"/>
        <v>22.040148493150685</v>
      </c>
      <c r="M165" s="8">
        <f t="shared" si="11"/>
        <v>22.573564924587863</v>
      </c>
    </row>
    <row r="166" spans="1:13" ht="15" customHeight="1" x14ac:dyDescent="0.3">
      <c r="A166" s="6" t="s">
        <v>224</v>
      </c>
      <c r="B166" s="6" t="s">
        <v>225</v>
      </c>
      <c r="C166" s="6" t="s">
        <v>226</v>
      </c>
      <c r="D166" s="6" t="s">
        <v>549</v>
      </c>
      <c r="E166" s="8">
        <v>1276.0999999999999</v>
      </c>
      <c r="F166" s="9">
        <f t="shared" si="8"/>
        <v>8026.413779999999</v>
      </c>
      <c r="G166" s="8">
        <v>2899.8</v>
      </c>
      <c r="H166" s="8">
        <v>267.60000000000002</v>
      </c>
      <c r="I166" s="9">
        <v>8139</v>
      </c>
      <c r="J166" s="23">
        <f t="shared" si="9"/>
        <v>0.92910958904109586</v>
      </c>
      <c r="K166" s="7">
        <v>12</v>
      </c>
      <c r="L166" s="8">
        <f t="shared" si="10"/>
        <v>21.990174739726026</v>
      </c>
      <c r="M166" s="8">
        <f t="shared" si="11"/>
        <v>23.668009671949868</v>
      </c>
    </row>
    <row r="167" spans="1:13" ht="15" customHeight="1" x14ac:dyDescent="0.3">
      <c r="A167" s="6" t="s">
        <v>475</v>
      </c>
      <c r="B167" s="6" t="s">
        <v>476</v>
      </c>
      <c r="C167" s="6" t="s">
        <v>477</v>
      </c>
      <c r="D167" s="6" t="s">
        <v>551</v>
      </c>
      <c r="E167" s="8">
        <v>1271.0999999999999</v>
      </c>
      <c r="F167" s="9">
        <f t="shared" si="8"/>
        <v>7994.9647799999993</v>
      </c>
      <c r="G167" s="8">
        <v>62</v>
      </c>
      <c r="H167" s="8">
        <v>78.2</v>
      </c>
      <c r="I167" s="9">
        <v>1954</v>
      </c>
      <c r="J167" s="23">
        <f t="shared" si="9"/>
        <v>0.2230593607305936</v>
      </c>
      <c r="K167" s="7">
        <v>3</v>
      </c>
      <c r="L167" s="8">
        <f t="shared" si="10"/>
        <v>21.904013095890409</v>
      </c>
      <c r="M167" s="8">
        <f t="shared" si="11"/>
        <v>98.198134452405313</v>
      </c>
    </row>
    <row r="168" spans="1:13" ht="15" customHeight="1" x14ac:dyDescent="0.3">
      <c r="A168" s="6" t="s">
        <v>227</v>
      </c>
      <c r="B168" s="6" t="s">
        <v>44</v>
      </c>
      <c r="C168" s="6" t="s">
        <v>45</v>
      </c>
      <c r="D168" s="6" t="s">
        <v>550</v>
      </c>
      <c r="E168" s="8">
        <v>1260.0999999999999</v>
      </c>
      <c r="F168" s="9">
        <f t="shared" si="8"/>
        <v>7925.7769799999987</v>
      </c>
      <c r="G168" s="8">
        <v>411.2</v>
      </c>
      <c r="H168" s="8">
        <v>8.6999999999999993</v>
      </c>
      <c r="I168" s="9">
        <v>8748</v>
      </c>
      <c r="J168" s="23">
        <f t="shared" si="9"/>
        <v>0.99863013698630132</v>
      </c>
      <c r="K168" s="7">
        <v>12</v>
      </c>
      <c r="L168" s="8">
        <f t="shared" si="10"/>
        <v>21.714457479452051</v>
      </c>
      <c r="M168" s="8">
        <f t="shared" si="11"/>
        <v>21.744244115226333</v>
      </c>
    </row>
    <row r="169" spans="1:13" ht="15" customHeight="1" x14ac:dyDescent="0.3">
      <c r="A169" s="6" t="s">
        <v>228</v>
      </c>
      <c r="B169" s="6" t="s">
        <v>123</v>
      </c>
      <c r="C169" s="6" t="s">
        <v>124</v>
      </c>
      <c r="D169" s="6" t="s">
        <v>549</v>
      </c>
      <c r="E169" s="8">
        <v>1257.4000000000001</v>
      </c>
      <c r="F169" s="9">
        <f t="shared" si="8"/>
        <v>7908.7945200000004</v>
      </c>
      <c r="G169" s="8">
        <v>849.8</v>
      </c>
      <c r="H169" s="8">
        <v>176.9</v>
      </c>
      <c r="I169" s="9">
        <v>8637</v>
      </c>
      <c r="J169" s="23">
        <f t="shared" si="9"/>
        <v>0.98595890410958908</v>
      </c>
      <c r="K169" s="7">
        <v>12</v>
      </c>
      <c r="L169" s="8">
        <f t="shared" si="10"/>
        <v>21.667930191780822</v>
      </c>
      <c r="M169" s="8">
        <f t="shared" si="11"/>
        <v>21.976504397360195</v>
      </c>
    </row>
    <row r="170" spans="1:13" ht="15" customHeight="1" x14ac:dyDescent="0.3">
      <c r="A170" s="6" t="s">
        <v>229</v>
      </c>
      <c r="B170" s="6" t="s">
        <v>100</v>
      </c>
      <c r="C170" s="6" t="s">
        <v>101</v>
      </c>
      <c r="D170" s="6" t="s">
        <v>550</v>
      </c>
      <c r="E170" s="8">
        <v>1249.2</v>
      </c>
      <c r="F170" s="9">
        <f t="shared" si="8"/>
        <v>7857.2181599999994</v>
      </c>
      <c r="G170" s="8">
        <v>1270.4000000000001</v>
      </c>
      <c r="H170" s="8">
        <v>269.39999999999998</v>
      </c>
      <c r="I170" s="9">
        <v>8046</v>
      </c>
      <c r="J170" s="23">
        <f t="shared" si="9"/>
        <v>0.91849315068493154</v>
      </c>
      <c r="K170" s="7">
        <v>12</v>
      </c>
      <c r="L170" s="8">
        <f t="shared" si="10"/>
        <v>21.52662509589041</v>
      </c>
      <c r="M170" s="8">
        <f t="shared" si="11"/>
        <v>23.436892348993286</v>
      </c>
    </row>
    <row r="171" spans="1:13" ht="15" customHeight="1" x14ac:dyDescent="0.3">
      <c r="A171" s="6" t="s">
        <v>230</v>
      </c>
      <c r="B171" s="6" t="s">
        <v>231</v>
      </c>
      <c r="C171" s="6" t="s">
        <v>232</v>
      </c>
      <c r="D171" s="6" t="s">
        <v>550</v>
      </c>
      <c r="E171" s="8">
        <v>1226.8</v>
      </c>
      <c r="F171" s="9">
        <f t="shared" si="8"/>
        <v>7716.3266399999993</v>
      </c>
      <c r="G171" s="8">
        <v>3178.7</v>
      </c>
      <c r="H171" s="8">
        <v>612.79999999999995</v>
      </c>
      <c r="I171" s="9">
        <v>8721</v>
      </c>
      <c r="J171" s="23">
        <f t="shared" si="9"/>
        <v>0.9955479452054794</v>
      </c>
      <c r="K171" s="7">
        <v>12</v>
      </c>
      <c r="L171" s="8">
        <f t="shared" si="10"/>
        <v>21.140620931506849</v>
      </c>
      <c r="M171" s="8">
        <f t="shared" si="11"/>
        <v>21.235161031991741</v>
      </c>
    </row>
    <row r="172" spans="1:13" ht="15" customHeight="1" x14ac:dyDescent="0.3">
      <c r="A172" s="6" t="s">
        <v>233</v>
      </c>
      <c r="B172" s="6" t="s">
        <v>231</v>
      </c>
      <c r="C172" s="6" t="s">
        <v>232</v>
      </c>
      <c r="D172" s="6" t="s">
        <v>550</v>
      </c>
      <c r="E172" s="8">
        <v>1208.2</v>
      </c>
      <c r="F172" s="9">
        <f t="shared" si="8"/>
        <v>7599.3363600000002</v>
      </c>
      <c r="G172" s="8">
        <v>5305</v>
      </c>
      <c r="H172" s="8">
        <v>459.9</v>
      </c>
      <c r="I172" s="9">
        <v>8061</v>
      </c>
      <c r="J172" s="23">
        <f t="shared" si="9"/>
        <v>0.92020547945205478</v>
      </c>
      <c r="K172" s="7">
        <v>12</v>
      </c>
      <c r="L172" s="8">
        <f t="shared" si="10"/>
        <v>20.820099616438355</v>
      </c>
      <c r="M172" s="8">
        <f t="shared" si="11"/>
        <v>22.625489720878303</v>
      </c>
    </row>
    <row r="173" spans="1:13" ht="15" customHeight="1" x14ac:dyDescent="0.3">
      <c r="A173" s="6" t="s">
        <v>234</v>
      </c>
      <c r="B173" s="6" t="s">
        <v>235</v>
      </c>
      <c r="C173" s="6" t="s">
        <v>236</v>
      </c>
      <c r="D173" s="6" t="s">
        <v>550</v>
      </c>
      <c r="E173" s="8">
        <v>1207.3</v>
      </c>
      <c r="F173" s="9">
        <f t="shared" si="8"/>
        <v>7593.6755399999993</v>
      </c>
      <c r="G173" s="8">
        <v>2646.8</v>
      </c>
      <c r="H173" s="8">
        <v>617</v>
      </c>
      <c r="I173" s="9">
        <v>8732</v>
      </c>
      <c r="J173" s="23">
        <f t="shared" si="9"/>
        <v>0.99680365296803652</v>
      </c>
      <c r="K173" s="7">
        <v>12</v>
      </c>
      <c r="L173" s="8">
        <f t="shared" si="10"/>
        <v>20.804590520547944</v>
      </c>
      <c r="M173" s="8">
        <f t="shared" si="11"/>
        <v>20.871302446174987</v>
      </c>
    </row>
    <row r="174" spans="1:13" ht="15" customHeight="1" x14ac:dyDescent="0.3">
      <c r="A174" s="6" t="s">
        <v>379</v>
      </c>
      <c r="B174" s="6" t="s">
        <v>169</v>
      </c>
      <c r="C174" s="6" t="s">
        <v>170</v>
      </c>
      <c r="D174" s="6" t="s">
        <v>549</v>
      </c>
      <c r="E174" s="8">
        <v>1192.5</v>
      </c>
      <c r="F174" s="9">
        <f t="shared" si="8"/>
        <v>7500.5864999999994</v>
      </c>
      <c r="G174" s="8">
        <v>219.2</v>
      </c>
      <c r="H174" s="8">
        <v>379.4</v>
      </c>
      <c r="I174" s="9">
        <v>8124</v>
      </c>
      <c r="J174" s="23">
        <f t="shared" si="9"/>
        <v>0.92739726027397262</v>
      </c>
      <c r="K174" s="7">
        <v>12</v>
      </c>
      <c r="L174" s="8">
        <f t="shared" si="10"/>
        <v>20.549552054794518</v>
      </c>
      <c r="M174" s="8">
        <f t="shared" si="11"/>
        <v>22.158305760709009</v>
      </c>
    </row>
    <row r="175" spans="1:13" ht="15" customHeight="1" x14ac:dyDescent="0.3">
      <c r="A175" s="6" t="s">
        <v>479</v>
      </c>
      <c r="B175" s="6" t="s">
        <v>182</v>
      </c>
      <c r="C175" s="6" t="s">
        <v>183</v>
      </c>
      <c r="D175" s="6" t="s">
        <v>550</v>
      </c>
      <c r="E175" s="8">
        <v>1151.2</v>
      </c>
      <c r="F175" s="9">
        <f t="shared" si="8"/>
        <v>7240.8177599999999</v>
      </c>
      <c r="G175" s="8">
        <v>3273.5</v>
      </c>
      <c r="H175" s="8">
        <v>230.7</v>
      </c>
      <c r="I175" s="9">
        <v>8060</v>
      </c>
      <c r="J175" s="23">
        <f t="shared" si="9"/>
        <v>0.92009132420091322</v>
      </c>
      <c r="K175" s="7">
        <v>12</v>
      </c>
      <c r="L175" s="8">
        <f t="shared" si="10"/>
        <v>19.83785687671233</v>
      </c>
      <c r="M175" s="8">
        <f t="shared" si="11"/>
        <v>21.560747672456575</v>
      </c>
    </row>
    <row r="176" spans="1:13" ht="15" customHeight="1" x14ac:dyDescent="0.3">
      <c r="A176" s="6" t="s">
        <v>237</v>
      </c>
      <c r="B176" s="6" t="s">
        <v>212</v>
      </c>
      <c r="C176" s="6" t="s">
        <v>213</v>
      </c>
      <c r="D176" s="6" t="s">
        <v>549</v>
      </c>
      <c r="E176" s="8">
        <v>1147.8</v>
      </c>
      <c r="F176" s="9">
        <f t="shared" si="8"/>
        <v>7219.4324399999996</v>
      </c>
      <c r="G176" s="8">
        <v>5544.4</v>
      </c>
      <c r="H176" s="8">
        <v>410.1</v>
      </c>
      <c r="I176" s="9">
        <v>8186</v>
      </c>
      <c r="J176" s="23">
        <f t="shared" si="9"/>
        <v>0.9344748858447488</v>
      </c>
      <c r="K176" s="7">
        <v>12</v>
      </c>
      <c r="L176" s="8">
        <f t="shared" si="10"/>
        <v>19.77926695890411</v>
      </c>
      <c r="M176" s="8">
        <f t="shared" si="11"/>
        <v>21.166183552406547</v>
      </c>
    </row>
    <row r="177" spans="1:13" ht="15" customHeight="1" x14ac:dyDescent="0.3">
      <c r="A177" s="6" t="s">
        <v>238</v>
      </c>
      <c r="B177" s="6" t="s">
        <v>239</v>
      </c>
      <c r="C177" s="6" t="s">
        <v>240</v>
      </c>
      <c r="D177" s="6" t="s">
        <v>551</v>
      </c>
      <c r="E177" s="8">
        <v>1142.4000000000001</v>
      </c>
      <c r="F177" s="9">
        <f t="shared" si="8"/>
        <v>7185.4675200000001</v>
      </c>
      <c r="G177" s="8">
        <v>1408</v>
      </c>
      <c r="H177" s="8">
        <v>1120.8</v>
      </c>
      <c r="I177" s="9">
        <v>8728</v>
      </c>
      <c r="J177" s="23">
        <f t="shared" si="9"/>
        <v>0.9963470319634703</v>
      </c>
      <c r="K177" s="7">
        <v>12</v>
      </c>
      <c r="L177" s="8">
        <f t="shared" si="10"/>
        <v>19.686212383561646</v>
      </c>
      <c r="M177" s="8">
        <f t="shared" si="11"/>
        <v>19.758389147571034</v>
      </c>
    </row>
    <row r="178" spans="1:13" ht="15" customHeight="1" x14ac:dyDescent="0.3">
      <c r="A178" s="6" t="s">
        <v>241</v>
      </c>
      <c r="B178" s="6" t="s">
        <v>242</v>
      </c>
      <c r="C178" s="6" t="s">
        <v>243</v>
      </c>
      <c r="D178" s="6" t="s">
        <v>550</v>
      </c>
      <c r="E178" s="8">
        <v>1136.2</v>
      </c>
      <c r="F178" s="9">
        <f t="shared" si="8"/>
        <v>7146.4707600000002</v>
      </c>
      <c r="G178" s="8">
        <v>666.9</v>
      </c>
      <c r="H178" s="8">
        <v>976.4</v>
      </c>
      <c r="I178" s="9">
        <v>8531</v>
      </c>
      <c r="J178" s="23">
        <f t="shared" si="9"/>
        <v>0.97385844748858452</v>
      </c>
      <c r="K178" s="7">
        <v>12</v>
      </c>
      <c r="L178" s="8">
        <f t="shared" si="10"/>
        <v>19.57937194520548</v>
      </c>
      <c r="M178" s="8">
        <f t="shared" si="11"/>
        <v>20.104946458797329</v>
      </c>
    </row>
    <row r="179" spans="1:13" ht="15" customHeight="1" x14ac:dyDescent="0.3">
      <c r="A179" s="6" t="s">
        <v>244</v>
      </c>
      <c r="B179" s="6" t="s">
        <v>206</v>
      </c>
      <c r="C179" s="6" t="s">
        <v>207</v>
      </c>
      <c r="D179" s="6" t="s">
        <v>550</v>
      </c>
      <c r="E179" s="8">
        <v>1135.8</v>
      </c>
      <c r="F179" s="9">
        <f t="shared" si="8"/>
        <v>7143.9548399999994</v>
      </c>
      <c r="G179" s="8">
        <v>526</v>
      </c>
      <c r="H179" s="8">
        <v>936.4</v>
      </c>
      <c r="I179" s="9">
        <v>8714</v>
      </c>
      <c r="J179" s="23">
        <f t="shared" si="9"/>
        <v>0.99474885844748862</v>
      </c>
      <c r="K179" s="7">
        <v>12</v>
      </c>
      <c r="L179" s="8">
        <f t="shared" si="10"/>
        <v>19.572479013698629</v>
      </c>
      <c r="M179" s="8">
        <f t="shared" si="11"/>
        <v>19.675799421620379</v>
      </c>
    </row>
    <row r="180" spans="1:13" ht="15" customHeight="1" x14ac:dyDescent="0.3">
      <c r="A180" s="6" t="s">
        <v>245</v>
      </c>
      <c r="B180" s="6" t="s">
        <v>246</v>
      </c>
      <c r="C180" s="6" t="s">
        <v>247</v>
      </c>
      <c r="D180" s="6" t="s">
        <v>550</v>
      </c>
      <c r="E180" s="8">
        <v>1130.4000000000001</v>
      </c>
      <c r="F180" s="9">
        <f t="shared" si="8"/>
        <v>7109.98992</v>
      </c>
      <c r="G180" s="8">
        <v>321.3</v>
      </c>
      <c r="H180" s="8">
        <v>501.1</v>
      </c>
      <c r="I180" s="9">
        <v>8715</v>
      </c>
      <c r="J180" s="23">
        <f t="shared" si="9"/>
        <v>0.99486301369863017</v>
      </c>
      <c r="K180" s="7">
        <v>12</v>
      </c>
      <c r="L180" s="8">
        <f t="shared" si="10"/>
        <v>19.479424438356165</v>
      </c>
      <c r="M180" s="8">
        <f t="shared" si="11"/>
        <v>19.580006664371773</v>
      </c>
    </row>
    <row r="181" spans="1:13" ht="15" customHeight="1" x14ac:dyDescent="0.3">
      <c r="A181" s="6" t="s">
        <v>481</v>
      </c>
      <c r="B181" s="6" t="s">
        <v>182</v>
      </c>
      <c r="C181" s="6" t="s">
        <v>183</v>
      </c>
      <c r="D181" s="6" t="s">
        <v>550</v>
      </c>
      <c r="E181" s="8">
        <v>1123.9000000000001</v>
      </c>
      <c r="F181" s="9">
        <f t="shared" si="8"/>
        <v>7069.1062200000006</v>
      </c>
      <c r="G181" s="8">
        <v>3730.2</v>
      </c>
      <c r="H181" s="8">
        <v>248.8</v>
      </c>
      <c r="I181" s="9">
        <v>8142</v>
      </c>
      <c r="J181" s="23">
        <f t="shared" si="9"/>
        <v>0.92945205479452053</v>
      </c>
      <c r="K181" s="7">
        <v>12</v>
      </c>
      <c r="L181" s="8">
        <f t="shared" si="10"/>
        <v>19.367414301369866</v>
      </c>
      <c r="M181" s="8">
        <f t="shared" si="11"/>
        <v>20.837453854089905</v>
      </c>
    </row>
    <row r="182" spans="1:13" ht="15" customHeight="1" x14ac:dyDescent="0.3">
      <c r="A182" s="6" t="s">
        <v>248</v>
      </c>
      <c r="B182" s="6" t="s">
        <v>249</v>
      </c>
      <c r="C182" s="6" t="s">
        <v>250</v>
      </c>
      <c r="D182" s="6" t="s">
        <v>550</v>
      </c>
      <c r="E182" s="8">
        <v>1121.7</v>
      </c>
      <c r="F182" s="9">
        <f t="shared" si="8"/>
        <v>7055.2686599999997</v>
      </c>
      <c r="G182" s="8">
        <v>1037.5999999999999</v>
      </c>
      <c r="H182" s="8">
        <v>751.7</v>
      </c>
      <c r="I182" s="9">
        <v>8600</v>
      </c>
      <c r="J182" s="23">
        <f t="shared" si="9"/>
        <v>0.9817351598173516</v>
      </c>
      <c r="K182" s="7">
        <v>12</v>
      </c>
      <c r="L182" s="8">
        <f t="shared" si="10"/>
        <v>19.329503178082192</v>
      </c>
      <c r="M182" s="8">
        <f t="shared" si="11"/>
        <v>19.689121841860466</v>
      </c>
    </row>
    <row r="183" spans="1:13" ht="15" customHeight="1" x14ac:dyDescent="0.3">
      <c r="A183" s="6" t="s">
        <v>251</v>
      </c>
      <c r="B183" s="6" t="s">
        <v>132</v>
      </c>
      <c r="C183" s="6" t="s">
        <v>133</v>
      </c>
      <c r="D183" s="6" t="s">
        <v>550</v>
      </c>
      <c r="E183" s="8">
        <v>1096.3</v>
      </c>
      <c r="F183" s="9">
        <f t="shared" si="8"/>
        <v>6895.5077399999991</v>
      </c>
      <c r="G183" s="8">
        <v>21.9</v>
      </c>
      <c r="H183" s="8">
        <v>718.9</v>
      </c>
      <c r="I183" s="9">
        <v>8156</v>
      </c>
      <c r="J183" s="23">
        <f t="shared" si="9"/>
        <v>0.93105022831050233</v>
      </c>
      <c r="K183" s="7">
        <v>12</v>
      </c>
      <c r="L183" s="8">
        <f t="shared" si="10"/>
        <v>18.891802027397258</v>
      </c>
      <c r="M183" s="8">
        <f t="shared" si="11"/>
        <v>20.290851613536045</v>
      </c>
    </row>
    <row r="184" spans="1:13" ht="15" customHeight="1" x14ac:dyDescent="0.3">
      <c r="A184" s="6" t="s">
        <v>252</v>
      </c>
      <c r="B184" s="6" t="s">
        <v>173</v>
      </c>
      <c r="C184" s="6" t="s">
        <v>174</v>
      </c>
      <c r="D184" s="6" t="s">
        <v>549</v>
      </c>
      <c r="E184" s="8">
        <v>1077.9000000000001</v>
      </c>
      <c r="F184" s="9">
        <f t="shared" si="8"/>
        <v>6779.7754199999999</v>
      </c>
      <c r="G184" s="8">
        <v>1056.0999999999999</v>
      </c>
      <c r="H184" s="8">
        <v>296.5</v>
      </c>
      <c r="I184" s="9">
        <v>8697</v>
      </c>
      <c r="J184" s="23">
        <f t="shared" si="9"/>
        <v>0.99280821917808215</v>
      </c>
      <c r="K184" s="7">
        <v>12</v>
      </c>
      <c r="L184" s="8">
        <f t="shared" si="10"/>
        <v>18.574727178082192</v>
      </c>
      <c r="M184" s="8">
        <f t="shared" si="11"/>
        <v>18.70928022076578</v>
      </c>
    </row>
    <row r="185" spans="1:13" ht="15" customHeight="1" x14ac:dyDescent="0.3">
      <c r="A185" s="6" t="s">
        <v>253</v>
      </c>
      <c r="B185" s="6" t="s">
        <v>173</v>
      </c>
      <c r="C185" s="6" t="s">
        <v>174</v>
      </c>
      <c r="D185" s="6" t="s">
        <v>549</v>
      </c>
      <c r="E185" s="8">
        <v>1066.0999999999999</v>
      </c>
      <c r="F185" s="9">
        <f t="shared" si="8"/>
        <v>6705.5557799999988</v>
      </c>
      <c r="G185" s="8">
        <v>1796.6</v>
      </c>
      <c r="H185" s="8">
        <v>460.1</v>
      </c>
      <c r="I185" s="9">
        <v>8697</v>
      </c>
      <c r="J185" s="23">
        <f t="shared" si="9"/>
        <v>0.99280821917808215</v>
      </c>
      <c r="K185" s="7">
        <v>12</v>
      </c>
      <c r="L185" s="8">
        <f t="shared" si="10"/>
        <v>18.371385698630135</v>
      </c>
      <c r="M185" s="8">
        <f t="shared" si="11"/>
        <v>18.504465760607104</v>
      </c>
    </row>
    <row r="186" spans="1:13" ht="15" customHeight="1" x14ac:dyDescent="0.3">
      <c r="A186" s="6" t="s">
        <v>254</v>
      </c>
      <c r="B186" s="6" t="s">
        <v>255</v>
      </c>
      <c r="C186" s="6" t="s">
        <v>256</v>
      </c>
      <c r="D186" s="6" t="s">
        <v>549</v>
      </c>
      <c r="E186" s="8">
        <v>1062.8</v>
      </c>
      <c r="F186" s="9">
        <f t="shared" si="8"/>
        <v>6684.7994399999989</v>
      </c>
      <c r="G186" s="8">
        <v>444.3</v>
      </c>
      <c r="H186" s="8">
        <v>267.2</v>
      </c>
      <c r="I186" s="9">
        <v>8632</v>
      </c>
      <c r="J186" s="23">
        <f t="shared" si="9"/>
        <v>0.9853881278538813</v>
      </c>
      <c r="K186" s="7">
        <v>12</v>
      </c>
      <c r="L186" s="8">
        <f t="shared" si="10"/>
        <v>18.314519013698629</v>
      </c>
      <c r="M186" s="8">
        <f t="shared" si="11"/>
        <v>18.586096682113062</v>
      </c>
    </row>
    <row r="187" spans="1:13" ht="15" customHeight="1" x14ac:dyDescent="0.3">
      <c r="A187" s="6" t="s">
        <v>257</v>
      </c>
      <c r="B187" s="6" t="s">
        <v>255</v>
      </c>
      <c r="C187" s="6" t="s">
        <v>256</v>
      </c>
      <c r="D187" s="6" t="s">
        <v>549</v>
      </c>
      <c r="E187" s="8">
        <v>1055.5999999999999</v>
      </c>
      <c r="F187" s="9">
        <f t="shared" si="8"/>
        <v>6639.5128799999993</v>
      </c>
      <c r="G187" s="8">
        <v>472</v>
      </c>
      <c r="H187" s="8">
        <v>152.9</v>
      </c>
      <c r="I187" s="9">
        <v>8537</v>
      </c>
      <c r="J187" s="23">
        <f t="shared" si="9"/>
        <v>0.97454337899543375</v>
      </c>
      <c r="K187" s="7">
        <v>12</v>
      </c>
      <c r="L187" s="8">
        <f t="shared" si="10"/>
        <v>18.190446246575341</v>
      </c>
      <c r="M187" s="8">
        <f t="shared" si="11"/>
        <v>18.66560959587677</v>
      </c>
    </row>
    <row r="188" spans="1:13" ht="15" customHeight="1" x14ac:dyDescent="0.3">
      <c r="A188" s="6" t="s">
        <v>258</v>
      </c>
      <c r="B188" s="6" t="s">
        <v>68</v>
      </c>
      <c r="C188" s="6" t="s">
        <v>69</v>
      </c>
      <c r="D188" s="6" t="s">
        <v>550</v>
      </c>
      <c r="E188" s="8">
        <v>1040.2</v>
      </c>
      <c r="F188" s="9">
        <f t="shared" si="8"/>
        <v>6542.6499599999997</v>
      </c>
      <c r="G188" s="8">
        <v>884.1</v>
      </c>
      <c r="H188" s="8">
        <v>732.3</v>
      </c>
      <c r="I188" s="9">
        <v>8747</v>
      </c>
      <c r="J188" s="23">
        <f t="shared" si="9"/>
        <v>0.99851598173515976</v>
      </c>
      <c r="K188" s="7">
        <v>12</v>
      </c>
      <c r="L188" s="8">
        <f t="shared" si="10"/>
        <v>17.925068383561644</v>
      </c>
      <c r="M188" s="8">
        <f t="shared" si="11"/>
        <v>17.951709047673489</v>
      </c>
    </row>
    <row r="189" spans="1:13" ht="15" customHeight="1" x14ac:dyDescent="0.3">
      <c r="A189" s="6" t="s">
        <v>259</v>
      </c>
      <c r="B189" s="6" t="s">
        <v>235</v>
      </c>
      <c r="C189" s="6" t="s">
        <v>236</v>
      </c>
      <c r="D189" s="6" t="s">
        <v>550</v>
      </c>
      <c r="E189" s="8">
        <v>1031.2</v>
      </c>
      <c r="F189" s="9">
        <f t="shared" si="8"/>
        <v>6486.0417600000001</v>
      </c>
      <c r="G189" s="8">
        <v>1682.3</v>
      </c>
      <c r="H189" s="8">
        <v>527.6</v>
      </c>
      <c r="I189" s="9">
        <v>8365</v>
      </c>
      <c r="J189" s="23">
        <f t="shared" si="9"/>
        <v>0.95490867579908678</v>
      </c>
      <c r="K189" s="7">
        <v>12</v>
      </c>
      <c r="L189" s="8">
        <f t="shared" si="10"/>
        <v>17.769977424657533</v>
      </c>
      <c r="M189" s="8">
        <f t="shared" si="11"/>
        <v>18.609085742976688</v>
      </c>
    </row>
    <row r="190" spans="1:13" ht="15" customHeight="1" x14ac:dyDescent="0.3">
      <c r="A190" s="6" t="s">
        <v>260</v>
      </c>
      <c r="B190" s="6" t="s">
        <v>95</v>
      </c>
      <c r="C190" s="6" t="s">
        <v>96</v>
      </c>
      <c r="D190" s="6" t="s">
        <v>550</v>
      </c>
      <c r="E190" s="8">
        <v>1024.3</v>
      </c>
      <c r="F190" s="9">
        <f t="shared" si="8"/>
        <v>6442.642139999999</v>
      </c>
      <c r="G190" s="8">
        <v>74.3</v>
      </c>
      <c r="H190" s="8">
        <v>724</v>
      </c>
      <c r="I190" s="9">
        <v>8655</v>
      </c>
      <c r="J190" s="23">
        <f t="shared" si="9"/>
        <v>0.98801369863013699</v>
      </c>
      <c r="K190" s="7">
        <v>12</v>
      </c>
      <c r="L190" s="8">
        <f t="shared" si="10"/>
        <v>17.651074356164379</v>
      </c>
      <c r="M190" s="8">
        <f t="shared" si="11"/>
        <v>17.865212173310223</v>
      </c>
    </row>
    <row r="191" spans="1:13" ht="15" customHeight="1" x14ac:dyDescent="0.3">
      <c r="A191" s="6" t="s">
        <v>261</v>
      </c>
      <c r="B191" s="6" t="s">
        <v>246</v>
      </c>
      <c r="C191" s="6" t="s">
        <v>247</v>
      </c>
      <c r="D191" s="6" t="s">
        <v>550</v>
      </c>
      <c r="E191" s="8">
        <v>1018.1</v>
      </c>
      <c r="F191" s="9">
        <f t="shared" si="8"/>
        <v>6403.6453799999999</v>
      </c>
      <c r="G191" s="8">
        <v>555.20000000000005</v>
      </c>
      <c r="H191" s="8">
        <v>497.9</v>
      </c>
      <c r="I191" s="9">
        <v>8549</v>
      </c>
      <c r="J191" s="23">
        <f t="shared" si="9"/>
        <v>0.97591324200913243</v>
      </c>
      <c r="K191" s="7">
        <v>12</v>
      </c>
      <c r="L191" s="8">
        <f t="shared" si="10"/>
        <v>17.544233917808221</v>
      </c>
      <c r="M191" s="8">
        <f t="shared" si="11"/>
        <v>17.97724752836589</v>
      </c>
    </row>
    <row r="192" spans="1:13" ht="15" customHeight="1" x14ac:dyDescent="0.3">
      <c r="A192" s="6" t="s">
        <v>262</v>
      </c>
      <c r="B192" s="6" t="s">
        <v>263</v>
      </c>
      <c r="C192" s="6" t="s">
        <v>264</v>
      </c>
      <c r="D192" s="6" t="s">
        <v>550</v>
      </c>
      <c r="E192" s="8">
        <v>1014.6</v>
      </c>
      <c r="F192" s="9">
        <f t="shared" si="8"/>
        <v>6381.6310800000001</v>
      </c>
      <c r="G192" s="8">
        <v>923.9</v>
      </c>
      <c r="H192" s="8">
        <v>486</v>
      </c>
      <c r="I192" s="9">
        <v>8756</v>
      </c>
      <c r="J192" s="23">
        <f t="shared" si="9"/>
        <v>0.99954337899543377</v>
      </c>
      <c r="K192" s="7">
        <v>12</v>
      </c>
      <c r="L192" s="8">
        <f t="shared" si="10"/>
        <v>17.483920767123287</v>
      </c>
      <c r="M192" s="8">
        <f t="shared" si="11"/>
        <v>17.491907939698493</v>
      </c>
    </row>
    <row r="193" spans="1:13" ht="15" customHeight="1" x14ac:dyDescent="0.3">
      <c r="A193" s="6" t="s">
        <v>265</v>
      </c>
      <c r="B193" s="6" t="s">
        <v>266</v>
      </c>
      <c r="C193" s="6" t="s">
        <v>267</v>
      </c>
      <c r="D193" s="6" t="s">
        <v>550</v>
      </c>
      <c r="E193" s="8">
        <v>1003.2</v>
      </c>
      <c r="F193" s="9">
        <f t="shared" si="8"/>
        <v>6309.9273599999997</v>
      </c>
      <c r="G193" s="8">
        <v>1626.5</v>
      </c>
      <c r="H193" s="8">
        <v>685.8</v>
      </c>
      <c r="I193" s="9">
        <v>8728</v>
      </c>
      <c r="J193" s="23">
        <f t="shared" si="9"/>
        <v>0.9963470319634703</v>
      </c>
      <c r="K193" s="7">
        <v>12</v>
      </c>
      <c r="L193" s="8">
        <f t="shared" si="10"/>
        <v>17.287472219178081</v>
      </c>
      <c r="M193" s="8">
        <f t="shared" si="11"/>
        <v>17.350854335472043</v>
      </c>
    </row>
    <row r="194" spans="1:13" ht="15" customHeight="1" x14ac:dyDescent="0.3">
      <c r="A194" s="6" t="s">
        <v>268</v>
      </c>
      <c r="B194" s="6" t="s">
        <v>269</v>
      </c>
      <c r="C194" s="6" t="s">
        <v>270</v>
      </c>
      <c r="D194" s="6" t="s">
        <v>551</v>
      </c>
      <c r="E194" s="8">
        <v>1001.9</v>
      </c>
      <c r="F194" s="9">
        <f t="shared" si="8"/>
        <v>6301.7506199999998</v>
      </c>
      <c r="G194" s="8">
        <v>566.6</v>
      </c>
      <c r="H194" s="8">
        <v>600.4</v>
      </c>
      <c r="I194" s="9">
        <v>8710</v>
      </c>
      <c r="J194" s="23">
        <f t="shared" si="9"/>
        <v>0.99429223744292239</v>
      </c>
      <c r="K194" s="7">
        <v>12</v>
      </c>
      <c r="L194" s="8">
        <f t="shared" si="10"/>
        <v>17.265070191780822</v>
      </c>
      <c r="M194" s="8">
        <f t="shared" si="11"/>
        <v>17.36418081285878</v>
      </c>
    </row>
    <row r="195" spans="1:13" ht="15" customHeight="1" x14ac:dyDescent="0.3">
      <c r="A195" s="6" t="s">
        <v>271</v>
      </c>
      <c r="B195" s="6" t="s">
        <v>272</v>
      </c>
      <c r="C195" s="6" t="s">
        <v>273</v>
      </c>
      <c r="D195" s="6" t="s">
        <v>550</v>
      </c>
      <c r="E195" s="8">
        <v>986.2</v>
      </c>
      <c r="F195" s="9">
        <f t="shared" si="8"/>
        <v>6203.0007599999999</v>
      </c>
      <c r="G195" s="8">
        <v>425.7</v>
      </c>
      <c r="H195" s="8">
        <v>503.3</v>
      </c>
      <c r="I195" s="9">
        <v>8534</v>
      </c>
      <c r="J195" s="23">
        <f t="shared" si="9"/>
        <v>0.97420091324200908</v>
      </c>
      <c r="K195" s="7">
        <v>12</v>
      </c>
      <c r="L195" s="8">
        <f t="shared" si="10"/>
        <v>16.994522630136984</v>
      </c>
      <c r="M195" s="8">
        <f t="shared" si="11"/>
        <v>17.444576779939069</v>
      </c>
    </row>
    <row r="196" spans="1:13" ht="15" customHeight="1" x14ac:dyDescent="0.3">
      <c r="A196" s="6" t="s">
        <v>274</v>
      </c>
      <c r="B196" s="6" t="s">
        <v>275</v>
      </c>
      <c r="C196" s="6" t="s">
        <v>276</v>
      </c>
      <c r="D196" s="6" t="s">
        <v>550</v>
      </c>
      <c r="E196" s="8">
        <v>984.8</v>
      </c>
      <c r="F196" s="9">
        <f t="shared" si="8"/>
        <v>6194.1950399999996</v>
      </c>
      <c r="G196" s="8">
        <v>840.3</v>
      </c>
      <c r="H196" s="8">
        <v>334.6</v>
      </c>
      <c r="I196" s="9">
        <v>7980</v>
      </c>
      <c r="J196" s="23">
        <f t="shared" si="9"/>
        <v>0.91095890410958902</v>
      </c>
      <c r="K196" s="7">
        <v>12</v>
      </c>
      <c r="L196" s="8">
        <f t="shared" si="10"/>
        <v>16.970397369863012</v>
      </c>
      <c r="M196" s="8">
        <f t="shared" si="11"/>
        <v>18.629158015037593</v>
      </c>
    </row>
    <row r="197" spans="1:13" ht="15" customHeight="1" x14ac:dyDescent="0.3">
      <c r="A197" s="6" t="s">
        <v>277</v>
      </c>
      <c r="B197" s="6" t="s">
        <v>278</v>
      </c>
      <c r="C197" s="6" t="s">
        <v>279</v>
      </c>
      <c r="D197" s="6" t="s">
        <v>550</v>
      </c>
      <c r="E197" s="8">
        <v>981.5</v>
      </c>
      <c r="F197" s="9">
        <f t="shared" ref="F197:F260" si="12">E197*6.2898</f>
        <v>6173.4386999999997</v>
      </c>
      <c r="G197" s="8">
        <v>2459.4</v>
      </c>
      <c r="H197" s="8">
        <v>804</v>
      </c>
      <c r="I197" s="9">
        <v>8696</v>
      </c>
      <c r="J197" s="23">
        <f t="shared" ref="J197:J260" si="13">I197/(365*24)</f>
        <v>0.9926940639269406</v>
      </c>
      <c r="K197" s="7">
        <v>12</v>
      </c>
      <c r="L197" s="8">
        <f t="shared" ref="L197:L260" si="14">F197/365</f>
        <v>16.913530684931505</v>
      </c>
      <c r="M197" s="8">
        <f t="shared" ref="M197:M260" si="15">IF(I197&gt;0,F197/(I197/24),0)</f>
        <v>17.038009291628335</v>
      </c>
    </row>
    <row r="198" spans="1:13" ht="15" customHeight="1" x14ac:dyDescent="0.3">
      <c r="A198" s="6" t="s">
        <v>482</v>
      </c>
      <c r="B198" s="6" t="s">
        <v>367</v>
      </c>
      <c r="C198" s="6" t="s">
        <v>368</v>
      </c>
      <c r="D198" s="6" t="s">
        <v>549</v>
      </c>
      <c r="E198" s="8">
        <v>978</v>
      </c>
      <c r="F198" s="9">
        <f t="shared" si="12"/>
        <v>6151.4243999999999</v>
      </c>
      <c r="G198" s="8">
        <v>33506.400000000001</v>
      </c>
      <c r="H198" s="8">
        <v>39.700000000000003</v>
      </c>
      <c r="I198" s="9">
        <v>2520</v>
      </c>
      <c r="J198" s="23">
        <f t="shared" si="13"/>
        <v>0.28767123287671231</v>
      </c>
      <c r="K198" s="7">
        <v>4</v>
      </c>
      <c r="L198" s="8">
        <f t="shared" si="14"/>
        <v>16.853217534246575</v>
      </c>
      <c r="M198" s="8">
        <f t="shared" si="15"/>
        <v>58.584994285714288</v>
      </c>
    </row>
    <row r="199" spans="1:13" ht="15" customHeight="1" x14ac:dyDescent="0.3">
      <c r="A199" s="6" t="s">
        <v>280</v>
      </c>
      <c r="B199" s="6" t="s">
        <v>275</v>
      </c>
      <c r="C199" s="6" t="s">
        <v>276</v>
      </c>
      <c r="D199" s="6" t="s">
        <v>550</v>
      </c>
      <c r="E199" s="8">
        <v>972.2</v>
      </c>
      <c r="F199" s="9">
        <f t="shared" si="12"/>
        <v>6114.9435599999997</v>
      </c>
      <c r="G199" s="8">
        <v>1694.2</v>
      </c>
      <c r="H199" s="8">
        <v>1179.4000000000001</v>
      </c>
      <c r="I199" s="9">
        <v>8760</v>
      </c>
      <c r="J199" s="23">
        <f t="shared" si="13"/>
        <v>1</v>
      </c>
      <c r="K199" s="7">
        <v>12</v>
      </c>
      <c r="L199" s="8">
        <f t="shared" si="14"/>
        <v>16.75327002739726</v>
      </c>
      <c r="M199" s="8">
        <f t="shared" si="15"/>
        <v>16.75327002739726</v>
      </c>
    </row>
    <row r="200" spans="1:13" ht="15" customHeight="1" x14ac:dyDescent="0.3">
      <c r="A200" s="6" t="s">
        <v>281</v>
      </c>
      <c r="B200" s="6" t="s">
        <v>123</v>
      </c>
      <c r="C200" s="6" t="s">
        <v>124</v>
      </c>
      <c r="D200" s="6" t="s">
        <v>549</v>
      </c>
      <c r="E200" s="8">
        <v>965.3</v>
      </c>
      <c r="F200" s="9">
        <f t="shared" si="12"/>
        <v>6071.5439399999996</v>
      </c>
      <c r="G200" s="8">
        <v>627.29999999999995</v>
      </c>
      <c r="H200" s="8">
        <v>239.9</v>
      </c>
      <c r="I200" s="9">
        <v>8621</v>
      </c>
      <c r="J200" s="23">
        <f t="shared" si="13"/>
        <v>0.98413242009132418</v>
      </c>
      <c r="K200" s="7">
        <v>12</v>
      </c>
      <c r="L200" s="8">
        <f t="shared" si="14"/>
        <v>16.63436695890411</v>
      </c>
      <c r="M200" s="8">
        <f t="shared" si="15"/>
        <v>16.902569836445888</v>
      </c>
    </row>
    <row r="201" spans="1:13" ht="15" customHeight="1" x14ac:dyDescent="0.3">
      <c r="A201" s="6" t="s">
        <v>282</v>
      </c>
      <c r="B201" s="6" t="s">
        <v>266</v>
      </c>
      <c r="C201" s="6" t="s">
        <v>267</v>
      </c>
      <c r="D201" s="6" t="s">
        <v>550</v>
      </c>
      <c r="E201" s="8">
        <v>954.3</v>
      </c>
      <c r="F201" s="9">
        <f t="shared" si="12"/>
        <v>6002.356139999999</v>
      </c>
      <c r="G201" s="8">
        <v>3090.8</v>
      </c>
      <c r="H201" s="8">
        <v>680.2</v>
      </c>
      <c r="I201" s="9">
        <v>8687</v>
      </c>
      <c r="J201" s="23">
        <f t="shared" si="13"/>
        <v>0.9916666666666667</v>
      </c>
      <c r="K201" s="7">
        <v>12</v>
      </c>
      <c r="L201" s="8">
        <f t="shared" si="14"/>
        <v>16.444811342465751</v>
      </c>
      <c r="M201" s="8">
        <f t="shared" si="15"/>
        <v>16.583003034419246</v>
      </c>
    </row>
    <row r="202" spans="1:13" ht="15" customHeight="1" x14ac:dyDescent="0.3">
      <c r="A202" s="6" t="s">
        <v>283</v>
      </c>
      <c r="B202" s="6" t="s">
        <v>217</v>
      </c>
      <c r="C202" s="6" t="s">
        <v>218</v>
      </c>
      <c r="D202" s="6" t="s">
        <v>550</v>
      </c>
      <c r="E202" s="8">
        <v>940.8</v>
      </c>
      <c r="F202" s="9">
        <f t="shared" si="12"/>
        <v>5917.443839999999</v>
      </c>
      <c r="G202" s="8">
        <v>676.7</v>
      </c>
      <c r="H202" s="8">
        <v>307.8</v>
      </c>
      <c r="I202" s="9">
        <v>8223</v>
      </c>
      <c r="J202" s="23">
        <f t="shared" si="13"/>
        <v>0.93869863013698629</v>
      </c>
      <c r="K202" s="7">
        <v>12</v>
      </c>
      <c r="L202" s="8">
        <f t="shared" si="14"/>
        <v>16.212174904109585</v>
      </c>
      <c r="M202" s="8">
        <f t="shared" si="15"/>
        <v>17.270905041955487</v>
      </c>
    </row>
    <row r="203" spans="1:13" ht="15" customHeight="1" x14ac:dyDescent="0.3">
      <c r="A203" s="6" t="s">
        <v>380</v>
      </c>
      <c r="B203" s="6" t="s">
        <v>266</v>
      </c>
      <c r="C203" s="6" t="s">
        <v>267</v>
      </c>
      <c r="D203" s="6" t="s">
        <v>550</v>
      </c>
      <c r="E203" s="8">
        <v>939.1</v>
      </c>
      <c r="F203" s="9">
        <f t="shared" si="12"/>
        <v>5906.7511800000002</v>
      </c>
      <c r="G203" s="8">
        <v>2445</v>
      </c>
      <c r="H203" s="8">
        <v>817.5</v>
      </c>
      <c r="I203" s="9">
        <v>8065</v>
      </c>
      <c r="J203" s="23">
        <f t="shared" si="13"/>
        <v>0.920662100456621</v>
      </c>
      <c r="K203" s="7">
        <v>12</v>
      </c>
      <c r="L203" s="8">
        <f t="shared" si="14"/>
        <v>16.182879945205482</v>
      </c>
      <c r="M203" s="8">
        <f t="shared" si="15"/>
        <v>17.577436865468073</v>
      </c>
    </row>
    <row r="204" spans="1:13" ht="15" customHeight="1" x14ac:dyDescent="0.3">
      <c r="A204" s="6" t="s">
        <v>284</v>
      </c>
      <c r="B204" s="6" t="s">
        <v>135</v>
      </c>
      <c r="C204" s="6" t="s">
        <v>136</v>
      </c>
      <c r="D204" s="6" t="s">
        <v>550</v>
      </c>
      <c r="E204" s="8">
        <v>914.5</v>
      </c>
      <c r="F204" s="9">
        <f t="shared" si="12"/>
        <v>5752.0220999999992</v>
      </c>
      <c r="G204" s="8">
        <v>177.4</v>
      </c>
      <c r="H204" s="8">
        <v>936.7</v>
      </c>
      <c r="I204" s="9">
        <v>8642</v>
      </c>
      <c r="J204" s="23">
        <f t="shared" si="13"/>
        <v>0.98652968036529676</v>
      </c>
      <c r="K204" s="7">
        <v>12</v>
      </c>
      <c r="L204" s="8">
        <f t="shared" si="14"/>
        <v>15.758964657534245</v>
      </c>
      <c r="M204" s="8">
        <f t="shared" si="15"/>
        <v>15.974141448738717</v>
      </c>
    </row>
    <row r="205" spans="1:13" ht="15" customHeight="1" x14ac:dyDescent="0.3">
      <c r="A205" s="6" t="s">
        <v>285</v>
      </c>
      <c r="B205" s="6" t="s">
        <v>286</v>
      </c>
      <c r="C205" s="6" t="s">
        <v>287</v>
      </c>
      <c r="D205" s="6" t="s">
        <v>550</v>
      </c>
      <c r="E205" s="8">
        <v>911</v>
      </c>
      <c r="F205" s="9">
        <f t="shared" si="12"/>
        <v>5730.0077999999994</v>
      </c>
      <c r="G205" s="8">
        <v>2525.9</v>
      </c>
      <c r="H205" s="8">
        <v>606.6</v>
      </c>
      <c r="I205" s="9">
        <v>8753</v>
      </c>
      <c r="J205" s="23">
        <f t="shared" si="13"/>
        <v>0.9992009132420091</v>
      </c>
      <c r="K205" s="7">
        <v>12</v>
      </c>
      <c r="L205" s="8">
        <f t="shared" si="14"/>
        <v>15.698651506849313</v>
      </c>
      <c r="M205" s="8">
        <f t="shared" si="15"/>
        <v>15.71120612361476</v>
      </c>
    </row>
    <row r="206" spans="1:13" ht="15" customHeight="1" x14ac:dyDescent="0.3">
      <c r="A206" s="6" t="s">
        <v>288</v>
      </c>
      <c r="B206" s="6" t="s">
        <v>289</v>
      </c>
      <c r="C206" s="6" t="s">
        <v>290</v>
      </c>
      <c r="D206" s="6" t="s">
        <v>551</v>
      </c>
      <c r="E206" s="8">
        <v>903.4</v>
      </c>
      <c r="F206" s="9">
        <f t="shared" si="12"/>
        <v>5682.2053199999991</v>
      </c>
      <c r="G206" s="8">
        <v>866.8</v>
      </c>
      <c r="H206" s="8">
        <v>245.1</v>
      </c>
      <c r="I206" s="9">
        <v>8600</v>
      </c>
      <c r="J206" s="23">
        <f t="shared" si="13"/>
        <v>0.9817351598173516</v>
      </c>
      <c r="K206" s="7">
        <v>12</v>
      </c>
      <c r="L206" s="8">
        <f t="shared" si="14"/>
        <v>15.567685808219176</v>
      </c>
      <c r="M206" s="8">
        <f t="shared" si="15"/>
        <v>15.857317172093021</v>
      </c>
    </row>
    <row r="207" spans="1:13" ht="15" customHeight="1" x14ac:dyDescent="0.3">
      <c r="A207" s="6" t="s">
        <v>291</v>
      </c>
      <c r="B207" s="6" t="s">
        <v>292</v>
      </c>
      <c r="C207" s="6" t="s">
        <v>293</v>
      </c>
      <c r="D207" s="6" t="s">
        <v>550</v>
      </c>
      <c r="E207" s="8">
        <v>902.7</v>
      </c>
      <c r="F207" s="9">
        <f t="shared" si="12"/>
        <v>5677.8024599999999</v>
      </c>
      <c r="G207" s="8">
        <v>2631.2</v>
      </c>
      <c r="H207" s="8">
        <v>934.4</v>
      </c>
      <c r="I207" s="9">
        <v>8260</v>
      </c>
      <c r="J207" s="23">
        <f t="shared" si="13"/>
        <v>0.94292237442922378</v>
      </c>
      <c r="K207" s="7">
        <v>12</v>
      </c>
      <c r="L207" s="8">
        <f t="shared" si="14"/>
        <v>15.555623178082191</v>
      </c>
      <c r="M207" s="8">
        <f t="shared" si="15"/>
        <v>16.497246857142855</v>
      </c>
    </row>
    <row r="208" spans="1:13" ht="15" customHeight="1" x14ac:dyDescent="0.3">
      <c r="A208" s="6" t="s">
        <v>294</v>
      </c>
      <c r="B208" s="6" t="s">
        <v>68</v>
      </c>
      <c r="C208" s="6" t="s">
        <v>69</v>
      </c>
      <c r="D208" s="6" t="s">
        <v>550</v>
      </c>
      <c r="E208" s="8">
        <v>902.6</v>
      </c>
      <c r="F208" s="9">
        <f t="shared" si="12"/>
        <v>5677.1734799999995</v>
      </c>
      <c r="G208" s="8">
        <v>1238.8</v>
      </c>
      <c r="H208" s="8">
        <v>942.2</v>
      </c>
      <c r="I208" s="9">
        <v>8221</v>
      </c>
      <c r="J208" s="23">
        <f t="shared" si="13"/>
        <v>0.93847031963470318</v>
      </c>
      <c r="K208" s="7">
        <v>12</v>
      </c>
      <c r="L208" s="8">
        <f t="shared" si="14"/>
        <v>15.553899945205478</v>
      </c>
      <c r="M208" s="8">
        <f t="shared" si="15"/>
        <v>16.573672730811335</v>
      </c>
    </row>
    <row r="209" spans="1:13" ht="15" customHeight="1" x14ac:dyDescent="0.3">
      <c r="A209" s="6" t="s">
        <v>295</v>
      </c>
      <c r="B209" s="6" t="s">
        <v>296</v>
      </c>
      <c r="C209" s="6" t="s">
        <v>297</v>
      </c>
      <c r="D209" s="6" t="s">
        <v>551</v>
      </c>
      <c r="E209" s="8">
        <v>901</v>
      </c>
      <c r="F209" s="9">
        <f t="shared" si="12"/>
        <v>5667.1097999999993</v>
      </c>
      <c r="G209" s="8">
        <v>787.1</v>
      </c>
      <c r="H209" s="8">
        <v>54.3</v>
      </c>
      <c r="I209" s="9">
        <v>8466</v>
      </c>
      <c r="J209" s="23">
        <f t="shared" si="13"/>
        <v>0.96643835616438356</v>
      </c>
      <c r="K209" s="7">
        <v>12</v>
      </c>
      <c r="L209" s="8">
        <f t="shared" si="14"/>
        <v>15.52632821917808</v>
      </c>
      <c r="M209" s="8">
        <f t="shared" si="15"/>
        <v>16.065513253012046</v>
      </c>
    </row>
    <row r="210" spans="1:13" ht="15" customHeight="1" x14ac:dyDescent="0.3">
      <c r="A210" s="6" t="s">
        <v>298</v>
      </c>
      <c r="B210" s="6" t="s">
        <v>299</v>
      </c>
      <c r="C210" s="6" t="s">
        <v>300</v>
      </c>
      <c r="D210" s="6" t="s">
        <v>550</v>
      </c>
      <c r="E210" s="8">
        <v>894.8</v>
      </c>
      <c r="F210" s="9">
        <f t="shared" si="12"/>
        <v>5628.1130399999993</v>
      </c>
      <c r="G210" s="8">
        <v>3345.9</v>
      </c>
      <c r="H210" s="8">
        <v>358.9</v>
      </c>
      <c r="I210" s="9">
        <v>7883</v>
      </c>
      <c r="J210" s="23">
        <f t="shared" si="13"/>
        <v>0.89988584474885847</v>
      </c>
      <c r="K210" s="7">
        <v>12</v>
      </c>
      <c r="L210" s="8">
        <f t="shared" si="14"/>
        <v>15.419487780821916</v>
      </c>
      <c r="M210" s="8">
        <f t="shared" si="15"/>
        <v>17.134937582138779</v>
      </c>
    </row>
    <row r="211" spans="1:13" ht="15" customHeight="1" x14ac:dyDescent="0.3">
      <c r="A211" s="6" t="s">
        <v>301</v>
      </c>
      <c r="B211" s="6" t="s">
        <v>302</v>
      </c>
      <c r="C211" s="6" t="s">
        <v>303</v>
      </c>
      <c r="D211" s="6" t="s">
        <v>551</v>
      </c>
      <c r="E211" s="8">
        <v>888.5</v>
      </c>
      <c r="F211" s="9">
        <f t="shared" si="12"/>
        <v>5588.4872999999998</v>
      </c>
      <c r="G211" s="8">
        <v>2133.8000000000002</v>
      </c>
      <c r="H211" s="8">
        <v>63.2</v>
      </c>
      <c r="I211" s="9">
        <v>7937</v>
      </c>
      <c r="J211" s="23">
        <f t="shared" si="13"/>
        <v>0.9060502283105023</v>
      </c>
      <c r="K211" s="7">
        <v>12</v>
      </c>
      <c r="L211" s="8">
        <f t="shared" si="14"/>
        <v>15.31092410958904</v>
      </c>
      <c r="M211" s="8">
        <f t="shared" si="15"/>
        <v>16.898537885851077</v>
      </c>
    </row>
    <row r="212" spans="1:13" ht="15" customHeight="1" x14ac:dyDescent="0.3">
      <c r="A212" s="6" t="s">
        <v>304</v>
      </c>
      <c r="B212" s="6" t="s">
        <v>235</v>
      </c>
      <c r="C212" s="6" t="s">
        <v>236</v>
      </c>
      <c r="D212" s="6" t="s">
        <v>550</v>
      </c>
      <c r="E212" s="8">
        <v>863.5</v>
      </c>
      <c r="F212" s="9">
        <f t="shared" si="12"/>
        <v>5431.2422999999999</v>
      </c>
      <c r="G212" s="8">
        <v>4176.2</v>
      </c>
      <c r="H212" s="8">
        <v>597.20000000000005</v>
      </c>
      <c r="I212" s="9">
        <v>8719</v>
      </c>
      <c r="J212" s="23">
        <f t="shared" si="13"/>
        <v>0.9953196347031964</v>
      </c>
      <c r="K212" s="7">
        <v>12</v>
      </c>
      <c r="L212" s="8">
        <f t="shared" si="14"/>
        <v>14.880115890410959</v>
      </c>
      <c r="M212" s="8">
        <f t="shared" si="15"/>
        <v>14.950087762358068</v>
      </c>
    </row>
    <row r="213" spans="1:13" ht="15" customHeight="1" x14ac:dyDescent="0.3">
      <c r="A213" s="6" t="s">
        <v>305</v>
      </c>
      <c r="B213" s="6" t="s">
        <v>185</v>
      </c>
      <c r="C213" s="6" t="s">
        <v>186</v>
      </c>
      <c r="D213" s="6" t="s">
        <v>549</v>
      </c>
      <c r="E213" s="8">
        <v>859.6</v>
      </c>
      <c r="F213" s="9">
        <f t="shared" si="12"/>
        <v>5406.7120800000002</v>
      </c>
      <c r="G213" s="8">
        <v>2659</v>
      </c>
      <c r="H213" s="8">
        <v>490.6</v>
      </c>
      <c r="I213" s="9">
        <v>8757</v>
      </c>
      <c r="J213" s="23">
        <f t="shared" si="13"/>
        <v>0.99965753424657533</v>
      </c>
      <c r="K213" s="7">
        <v>12</v>
      </c>
      <c r="L213" s="8">
        <f t="shared" si="14"/>
        <v>14.812909808219178</v>
      </c>
      <c r="M213" s="8">
        <f t="shared" si="15"/>
        <v>14.817984460431655</v>
      </c>
    </row>
    <row r="214" spans="1:13" ht="15" customHeight="1" x14ac:dyDescent="0.3">
      <c r="A214" s="6" t="s">
        <v>306</v>
      </c>
      <c r="B214" s="6" t="s">
        <v>307</v>
      </c>
      <c r="C214" s="6" t="s">
        <v>308</v>
      </c>
      <c r="D214" s="6" t="s">
        <v>550</v>
      </c>
      <c r="E214" s="8">
        <v>849.3</v>
      </c>
      <c r="F214" s="9">
        <f t="shared" si="12"/>
        <v>5341.9271399999998</v>
      </c>
      <c r="G214" s="8">
        <v>626.79999999999995</v>
      </c>
      <c r="H214" s="8">
        <v>920.3</v>
      </c>
      <c r="I214" s="9">
        <v>8663</v>
      </c>
      <c r="J214" s="23">
        <f t="shared" si="13"/>
        <v>0.98892694063926945</v>
      </c>
      <c r="K214" s="7">
        <v>12</v>
      </c>
      <c r="L214" s="8">
        <f t="shared" si="14"/>
        <v>14.635416821917808</v>
      </c>
      <c r="M214" s="8">
        <f t="shared" si="15"/>
        <v>14.799290241255916</v>
      </c>
    </row>
    <row r="215" spans="1:13" ht="15" customHeight="1" x14ac:dyDescent="0.3">
      <c r="A215" s="6" t="s">
        <v>381</v>
      </c>
      <c r="B215" s="6" t="s">
        <v>68</v>
      </c>
      <c r="C215" s="6" t="s">
        <v>69</v>
      </c>
      <c r="D215" s="6" t="s">
        <v>550</v>
      </c>
      <c r="E215" s="8">
        <v>834.1</v>
      </c>
      <c r="F215" s="9">
        <f t="shared" si="12"/>
        <v>5246.3221800000001</v>
      </c>
      <c r="G215" s="8">
        <v>334</v>
      </c>
      <c r="H215" s="8">
        <v>663.5</v>
      </c>
      <c r="I215" s="9">
        <v>7232</v>
      </c>
      <c r="J215" s="23">
        <f t="shared" si="13"/>
        <v>0.82557077625570774</v>
      </c>
      <c r="K215" s="7">
        <v>12</v>
      </c>
      <c r="L215" s="8">
        <f t="shared" si="14"/>
        <v>14.373485424657535</v>
      </c>
      <c r="M215" s="8">
        <f t="shared" si="15"/>
        <v>17.410361216814159</v>
      </c>
    </row>
    <row r="216" spans="1:13" ht="15" customHeight="1" x14ac:dyDescent="0.3">
      <c r="A216" s="6" t="s">
        <v>309</v>
      </c>
      <c r="B216" s="6" t="s">
        <v>185</v>
      </c>
      <c r="C216" s="6" t="s">
        <v>186</v>
      </c>
      <c r="D216" s="6" t="s">
        <v>549</v>
      </c>
      <c r="E216" s="8">
        <v>779</v>
      </c>
      <c r="F216" s="9">
        <f t="shared" si="12"/>
        <v>4899.7541999999994</v>
      </c>
      <c r="G216" s="8">
        <v>2087.8000000000002</v>
      </c>
      <c r="H216" s="8">
        <v>479.2</v>
      </c>
      <c r="I216" s="9">
        <v>8709</v>
      </c>
      <c r="J216" s="23">
        <f t="shared" si="13"/>
        <v>0.99417808219178083</v>
      </c>
      <c r="K216" s="7">
        <v>12</v>
      </c>
      <c r="L216" s="8">
        <f t="shared" si="14"/>
        <v>13.423984109589039</v>
      </c>
      <c r="M216" s="8">
        <f t="shared" si="15"/>
        <v>13.502595108508437</v>
      </c>
    </row>
    <row r="217" spans="1:13" ht="15" customHeight="1" x14ac:dyDescent="0.3">
      <c r="A217" s="6" t="s">
        <v>310</v>
      </c>
      <c r="B217" s="6" t="s">
        <v>311</v>
      </c>
      <c r="C217" s="6" t="s">
        <v>312</v>
      </c>
      <c r="D217" s="6" t="s">
        <v>550</v>
      </c>
      <c r="E217" s="8">
        <v>774</v>
      </c>
      <c r="F217" s="9">
        <f t="shared" si="12"/>
        <v>4868.3051999999998</v>
      </c>
      <c r="G217" s="8">
        <v>1826.4</v>
      </c>
      <c r="H217" s="8">
        <v>695.9</v>
      </c>
      <c r="I217" s="9">
        <v>8752</v>
      </c>
      <c r="J217" s="23">
        <f t="shared" si="13"/>
        <v>0.99908675799086755</v>
      </c>
      <c r="K217" s="7">
        <v>12</v>
      </c>
      <c r="L217" s="8">
        <f t="shared" si="14"/>
        <v>13.337822465753424</v>
      </c>
      <c r="M217" s="8">
        <f t="shared" si="15"/>
        <v>13.350014259597804</v>
      </c>
    </row>
    <row r="218" spans="1:13" ht="15" customHeight="1" x14ac:dyDescent="0.3">
      <c r="A218" s="6" t="s">
        <v>382</v>
      </c>
      <c r="B218" s="6" t="s">
        <v>315</v>
      </c>
      <c r="C218" s="6" t="s">
        <v>316</v>
      </c>
      <c r="D218" s="6" t="s">
        <v>550</v>
      </c>
      <c r="E218" s="8">
        <v>759.8</v>
      </c>
      <c r="F218" s="9">
        <f t="shared" si="12"/>
        <v>4778.9900399999997</v>
      </c>
      <c r="G218" s="8">
        <v>5158.5</v>
      </c>
      <c r="H218" s="8">
        <v>676</v>
      </c>
      <c r="I218" s="9">
        <v>8061</v>
      </c>
      <c r="J218" s="23">
        <f t="shared" si="13"/>
        <v>0.92020547945205478</v>
      </c>
      <c r="K218" s="7">
        <v>12</v>
      </c>
      <c r="L218" s="8">
        <f t="shared" si="14"/>
        <v>13.093123397260273</v>
      </c>
      <c r="M218" s="8">
        <f t="shared" si="15"/>
        <v>14.22847797543729</v>
      </c>
    </row>
    <row r="219" spans="1:13" ht="15" customHeight="1" x14ac:dyDescent="0.3">
      <c r="A219" s="6" t="s">
        <v>313</v>
      </c>
      <c r="B219" s="6" t="s">
        <v>89</v>
      </c>
      <c r="C219" s="6" t="s">
        <v>90</v>
      </c>
      <c r="D219" s="6" t="s">
        <v>550</v>
      </c>
      <c r="E219" s="8">
        <v>756.9</v>
      </c>
      <c r="F219" s="9">
        <f t="shared" si="12"/>
        <v>4760.7496199999996</v>
      </c>
      <c r="G219" s="8">
        <v>188.9</v>
      </c>
      <c r="H219" s="8">
        <v>1044.8</v>
      </c>
      <c r="I219" s="9">
        <v>8377</v>
      </c>
      <c r="J219" s="23">
        <f t="shared" si="13"/>
        <v>0.95627853881278535</v>
      </c>
      <c r="K219" s="7">
        <v>12</v>
      </c>
      <c r="L219" s="8">
        <f t="shared" si="14"/>
        <v>13.043149643835616</v>
      </c>
      <c r="M219" s="8">
        <f t="shared" si="15"/>
        <v>13.639487988540049</v>
      </c>
    </row>
    <row r="220" spans="1:13" ht="15" customHeight="1" x14ac:dyDescent="0.3">
      <c r="A220" s="6" t="s">
        <v>314</v>
      </c>
      <c r="B220" s="6" t="s">
        <v>315</v>
      </c>
      <c r="C220" s="6" t="s">
        <v>316</v>
      </c>
      <c r="D220" s="6" t="s">
        <v>550</v>
      </c>
      <c r="E220" s="8">
        <v>755.7</v>
      </c>
      <c r="F220" s="9">
        <f t="shared" si="12"/>
        <v>4753.2018600000001</v>
      </c>
      <c r="G220" s="8">
        <v>3124.7</v>
      </c>
      <c r="H220" s="8">
        <v>569.29999999999995</v>
      </c>
      <c r="I220" s="9">
        <v>8528</v>
      </c>
      <c r="J220" s="23">
        <f t="shared" si="13"/>
        <v>0.97351598173515985</v>
      </c>
      <c r="K220" s="7">
        <v>12</v>
      </c>
      <c r="L220" s="8">
        <f t="shared" si="14"/>
        <v>13.022470849315068</v>
      </c>
      <c r="M220" s="8">
        <f t="shared" si="15"/>
        <v>13.376740694183866</v>
      </c>
    </row>
    <row r="221" spans="1:13" ht="15" customHeight="1" x14ac:dyDescent="0.3">
      <c r="A221" s="6" t="s">
        <v>317</v>
      </c>
      <c r="B221" s="6" t="s">
        <v>225</v>
      </c>
      <c r="C221" s="6" t="s">
        <v>226</v>
      </c>
      <c r="D221" s="6" t="s">
        <v>549</v>
      </c>
      <c r="E221" s="8">
        <v>743.6</v>
      </c>
      <c r="F221" s="9">
        <f t="shared" si="12"/>
        <v>4677.0952799999995</v>
      </c>
      <c r="G221" s="8">
        <v>2076.1999999999998</v>
      </c>
      <c r="H221" s="8">
        <v>135.5</v>
      </c>
      <c r="I221" s="9">
        <v>8662</v>
      </c>
      <c r="J221" s="23">
        <f t="shared" si="13"/>
        <v>0.98881278538812789</v>
      </c>
      <c r="K221" s="7">
        <v>12</v>
      </c>
      <c r="L221" s="8">
        <f t="shared" si="14"/>
        <v>12.813959671232876</v>
      </c>
      <c r="M221" s="8">
        <f t="shared" si="15"/>
        <v>12.958934047564071</v>
      </c>
    </row>
    <row r="222" spans="1:13" ht="15" customHeight="1" x14ac:dyDescent="0.3">
      <c r="A222" s="6" t="s">
        <v>318</v>
      </c>
      <c r="B222" s="6" t="s">
        <v>95</v>
      </c>
      <c r="C222" s="6" t="s">
        <v>96</v>
      </c>
      <c r="D222" s="6" t="s">
        <v>550</v>
      </c>
      <c r="E222" s="8">
        <v>723.3</v>
      </c>
      <c r="F222" s="9">
        <f t="shared" si="12"/>
        <v>4549.4123399999999</v>
      </c>
      <c r="G222" s="8">
        <v>91.8</v>
      </c>
      <c r="H222" s="8">
        <v>921.6</v>
      </c>
      <c r="I222" s="9">
        <v>8135</v>
      </c>
      <c r="J222" s="23">
        <f t="shared" si="13"/>
        <v>0.92865296803652964</v>
      </c>
      <c r="K222" s="7">
        <v>12</v>
      </c>
      <c r="L222" s="8">
        <f t="shared" si="14"/>
        <v>12.464143397260274</v>
      </c>
      <c r="M222" s="8">
        <f t="shared" si="15"/>
        <v>13.421745071911493</v>
      </c>
    </row>
    <row r="223" spans="1:13" ht="15" customHeight="1" x14ac:dyDescent="0.3">
      <c r="A223" s="6" t="s">
        <v>319</v>
      </c>
      <c r="B223" s="6" t="s">
        <v>315</v>
      </c>
      <c r="C223" s="6" t="s">
        <v>316</v>
      </c>
      <c r="D223" s="6" t="s">
        <v>550</v>
      </c>
      <c r="E223" s="8">
        <v>719.1</v>
      </c>
      <c r="F223" s="9">
        <f t="shared" si="12"/>
        <v>4522.9951799999999</v>
      </c>
      <c r="G223" s="8">
        <v>4201.3</v>
      </c>
      <c r="H223" s="8">
        <v>849.4</v>
      </c>
      <c r="I223" s="9">
        <v>8728</v>
      </c>
      <c r="J223" s="23">
        <f t="shared" si="13"/>
        <v>0.9963470319634703</v>
      </c>
      <c r="K223" s="7">
        <v>12</v>
      </c>
      <c r="L223" s="8">
        <f t="shared" si="14"/>
        <v>12.391767616438356</v>
      </c>
      <c r="M223" s="8">
        <f t="shared" si="15"/>
        <v>12.437200311640696</v>
      </c>
    </row>
    <row r="224" spans="1:13" ht="15" customHeight="1" x14ac:dyDescent="0.3">
      <c r="A224" s="6" t="s">
        <v>320</v>
      </c>
      <c r="B224" s="6" t="s">
        <v>159</v>
      </c>
      <c r="C224" s="6" t="s">
        <v>160</v>
      </c>
      <c r="D224" s="6" t="s">
        <v>550</v>
      </c>
      <c r="E224" s="8">
        <v>713.3</v>
      </c>
      <c r="F224" s="9">
        <f t="shared" si="12"/>
        <v>4486.5143399999997</v>
      </c>
      <c r="G224" s="8">
        <v>325.10000000000002</v>
      </c>
      <c r="H224" s="8">
        <v>530.4</v>
      </c>
      <c r="I224" s="9">
        <v>8603</v>
      </c>
      <c r="J224" s="23">
        <f t="shared" si="13"/>
        <v>0.98207762557077627</v>
      </c>
      <c r="K224" s="7">
        <v>12</v>
      </c>
      <c r="L224" s="8">
        <f t="shared" si="14"/>
        <v>12.29182010958904</v>
      </c>
      <c r="M224" s="8">
        <f t="shared" si="15"/>
        <v>12.516139039869813</v>
      </c>
    </row>
    <row r="225" spans="1:13" ht="15" customHeight="1" x14ac:dyDescent="0.3">
      <c r="A225" s="6" t="s">
        <v>410</v>
      </c>
      <c r="B225" s="6" t="s">
        <v>55</v>
      </c>
      <c r="C225" s="6" t="s">
        <v>56</v>
      </c>
      <c r="D225" s="6" t="s">
        <v>549</v>
      </c>
      <c r="E225" s="8">
        <v>709.2</v>
      </c>
      <c r="F225" s="9">
        <f t="shared" si="12"/>
        <v>4460.7261600000002</v>
      </c>
      <c r="G225" s="8">
        <v>2923</v>
      </c>
      <c r="H225" s="8">
        <v>31.2</v>
      </c>
      <c r="I225" s="9">
        <v>5085</v>
      </c>
      <c r="J225" s="23">
        <f t="shared" si="13"/>
        <v>0.58047945205479456</v>
      </c>
      <c r="K225" s="7">
        <v>9</v>
      </c>
      <c r="L225" s="8">
        <f t="shared" si="14"/>
        <v>12.221167561643837</v>
      </c>
      <c r="M225" s="8">
        <f t="shared" si="15"/>
        <v>21.053574796460179</v>
      </c>
    </row>
    <row r="226" spans="1:13" ht="15" customHeight="1" x14ac:dyDescent="0.3">
      <c r="A226" s="6" t="s">
        <v>321</v>
      </c>
      <c r="B226" s="6" t="s">
        <v>322</v>
      </c>
      <c r="C226" s="6" t="s">
        <v>323</v>
      </c>
      <c r="D226" s="6" t="s">
        <v>550</v>
      </c>
      <c r="E226" s="8">
        <v>671.7</v>
      </c>
      <c r="F226" s="9">
        <f t="shared" si="12"/>
        <v>4224.8586599999999</v>
      </c>
      <c r="G226" s="8">
        <v>515.6</v>
      </c>
      <c r="H226" s="8">
        <v>689.8</v>
      </c>
      <c r="I226" s="9">
        <v>8754</v>
      </c>
      <c r="J226" s="23">
        <f t="shared" si="13"/>
        <v>0.99931506849315066</v>
      </c>
      <c r="K226" s="7">
        <v>12</v>
      </c>
      <c r="L226" s="8">
        <f t="shared" si="14"/>
        <v>11.574955232876713</v>
      </c>
      <c r="M226" s="8">
        <f t="shared" si="15"/>
        <v>11.582888718300206</v>
      </c>
    </row>
    <row r="227" spans="1:13" ht="15" customHeight="1" x14ac:dyDescent="0.3">
      <c r="A227" s="6" t="s">
        <v>324</v>
      </c>
      <c r="B227" s="6" t="s">
        <v>325</v>
      </c>
      <c r="C227" s="6" t="s">
        <v>326</v>
      </c>
      <c r="D227" s="6" t="s">
        <v>550</v>
      </c>
      <c r="E227" s="8">
        <v>620</v>
      </c>
      <c r="F227" s="9">
        <f t="shared" si="12"/>
        <v>3899.6759999999999</v>
      </c>
      <c r="G227" s="8">
        <v>1561.1</v>
      </c>
      <c r="H227" s="8">
        <v>563.9</v>
      </c>
      <c r="I227" s="9">
        <v>8682</v>
      </c>
      <c r="J227" s="23">
        <f t="shared" si="13"/>
        <v>0.99109589041095891</v>
      </c>
      <c r="K227" s="7">
        <v>12</v>
      </c>
      <c r="L227" s="8">
        <f t="shared" si="14"/>
        <v>10.684043835616437</v>
      </c>
      <c r="M227" s="8">
        <f t="shared" si="15"/>
        <v>10.780030407740151</v>
      </c>
    </row>
    <row r="228" spans="1:13" ht="15" customHeight="1" x14ac:dyDescent="0.3">
      <c r="A228" s="6" t="s">
        <v>412</v>
      </c>
      <c r="B228" s="6" t="s">
        <v>275</v>
      </c>
      <c r="C228" s="6" t="s">
        <v>276</v>
      </c>
      <c r="D228" s="6" t="s">
        <v>550</v>
      </c>
      <c r="E228" s="8">
        <v>591</v>
      </c>
      <c r="F228" s="9">
        <f t="shared" si="12"/>
        <v>3717.2718</v>
      </c>
      <c r="G228" s="8">
        <v>330.7</v>
      </c>
      <c r="H228" s="8">
        <v>45.2</v>
      </c>
      <c r="I228" s="9">
        <v>6767</v>
      </c>
      <c r="J228" s="23">
        <f t="shared" si="13"/>
        <v>0.77248858447488589</v>
      </c>
      <c r="K228" s="7">
        <v>12</v>
      </c>
      <c r="L228" s="8">
        <f t="shared" si="14"/>
        <v>10.184306301369864</v>
      </c>
      <c r="M228" s="8">
        <f t="shared" si="15"/>
        <v>13.183762849120734</v>
      </c>
    </row>
    <row r="229" spans="1:13" ht="15" customHeight="1" x14ac:dyDescent="0.3">
      <c r="A229" s="6" t="s">
        <v>327</v>
      </c>
      <c r="B229" s="6" t="s">
        <v>85</v>
      </c>
      <c r="C229" s="6" t="s">
        <v>86</v>
      </c>
      <c r="D229" s="6" t="s">
        <v>549</v>
      </c>
      <c r="E229" s="8">
        <v>585.20000000000005</v>
      </c>
      <c r="F229" s="9">
        <f t="shared" si="12"/>
        <v>3680.7909600000003</v>
      </c>
      <c r="G229" s="8">
        <v>903.3</v>
      </c>
      <c r="H229" s="8">
        <v>32.200000000000003</v>
      </c>
      <c r="I229" s="9">
        <v>8336</v>
      </c>
      <c r="J229" s="23">
        <f t="shared" si="13"/>
        <v>0.95159817351598175</v>
      </c>
      <c r="K229" s="7">
        <v>12</v>
      </c>
      <c r="L229" s="8">
        <f t="shared" si="14"/>
        <v>10.084358794520549</v>
      </c>
      <c r="M229" s="8">
        <f t="shared" si="15"/>
        <v>10.597286833013436</v>
      </c>
    </row>
    <row r="230" spans="1:13" ht="15" customHeight="1" x14ac:dyDescent="0.3">
      <c r="A230" s="6" t="s">
        <v>328</v>
      </c>
      <c r="B230" s="6" t="s">
        <v>85</v>
      </c>
      <c r="C230" s="6" t="s">
        <v>86</v>
      </c>
      <c r="D230" s="6" t="s">
        <v>549</v>
      </c>
      <c r="E230" s="8">
        <v>570.4</v>
      </c>
      <c r="F230" s="9">
        <f t="shared" si="12"/>
        <v>3587.7019199999995</v>
      </c>
      <c r="G230" s="8">
        <v>140.80000000000001</v>
      </c>
      <c r="H230" s="8">
        <v>809.9</v>
      </c>
      <c r="I230" s="9">
        <v>8665</v>
      </c>
      <c r="J230" s="23">
        <f t="shared" si="13"/>
        <v>0.98915525114155256</v>
      </c>
      <c r="K230" s="7">
        <v>12</v>
      </c>
      <c r="L230" s="8">
        <f t="shared" si="14"/>
        <v>9.8293203287671211</v>
      </c>
      <c r="M230" s="8">
        <f t="shared" si="15"/>
        <v>9.9370855256780128</v>
      </c>
    </row>
    <row r="231" spans="1:13" ht="15" customHeight="1" x14ac:dyDescent="0.3">
      <c r="A231" s="6" t="s">
        <v>329</v>
      </c>
      <c r="B231" s="6" t="s">
        <v>80</v>
      </c>
      <c r="C231" s="6" t="s">
        <v>81</v>
      </c>
      <c r="D231" s="6" t="s">
        <v>550</v>
      </c>
      <c r="E231" s="8">
        <v>570.4</v>
      </c>
      <c r="F231" s="9">
        <f t="shared" si="12"/>
        <v>3587.7019199999995</v>
      </c>
      <c r="G231" s="8">
        <v>5538.9</v>
      </c>
      <c r="H231" s="8">
        <v>688.1</v>
      </c>
      <c r="I231" s="9">
        <v>7987</v>
      </c>
      <c r="J231" s="23">
        <f t="shared" si="13"/>
        <v>0.91175799086757991</v>
      </c>
      <c r="K231" s="7">
        <v>12</v>
      </c>
      <c r="L231" s="8">
        <f t="shared" si="14"/>
        <v>9.8293203287671211</v>
      </c>
      <c r="M231" s="8">
        <f t="shared" si="15"/>
        <v>10.780624274445973</v>
      </c>
    </row>
    <row r="232" spans="1:13" ht="15" customHeight="1" x14ac:dyDescent="0.3">
      <c r="A232" s="6" t="s">
        <v>330</v>
      </c>
      <c r="B232" s="6" t="s">
        <v>85</v>
      </c>
      <c r="C232" s="6" t="s">
        <v>86</v>
      </c>
      <c r="D232" s="6" t="s">
        <v>549</v>
      </c>
      <c r="E232" s="8">
        <v>570.1</v>
      </c>
      <c r="F232" s="9">
        <f t="shared" si="12"/>
        <v>3585.8149800000001</v>
      </c>
      <c r="G232" s="8">
        <v>462.1</v>
      </c>
      <c r="H232" s="8">
        <v>16.2</v>
      </c>
      <c r="I232" s="9">
        <v>8587</v>
      </c>
      <c r="J232" s="23">
        <f t="shared" si="13"/>
        <v>0.98025114155251136</v>
      </c>
      <c r="K232" s="7">
        <v>12</v>
      </c>
      <c r="L232" s="8">
        <f t="shared" si="14"/>
        <v>9.8241506301369874</v>
      </c>
      <c r="M232" s="8">
        <f t="shared" si="15"/>
        <v>10.022075174100385</v>
      </c>
    </row>
    <row r="233" spans="1:13" ht="15" customHeight="1" x14ac:dyDescent="0.3">
      <c r="A233" s="6" t="s">
        <v>415</v>
      </c>
      <c r="B233" s="6" t="s">
        <v>263</v>
      </c>
      <c r="C233" s="6" t="s">
        <v>264</v>
      </c>
      <c r="D233" s="6" t="s">
        <v>550</v>
      </c>
      <c r="E233" s="8">
        <v>555.20000000000005</v>
      </c>
      <c r="F233" s="9">
        <f t="shared" si="12"/>
        <v>3492.0969599999999</v>
      </c>
      <c r="G233" s="8">
        <v>7642.7</v>
      </c>
      <c r="H233" s="8">
        <v>1862.1</v>
      </c>
      <c r="I233" s="9">
        <v>7374</v>
      </c>
      <c r="J233" s="23">
        <f t="shared" si="13"/>
        <v>0.84178082191780823</v>
      </c>
      <c r="K233" s="7">
        <v>11</v>
      </c>
      <c r="L233" s="8">
        <f t="shared" si="14"/>
        <v>9.5673889315068497</v>
      </c>
      <c r="M233" s="8">
        <f t="shared" si="15"/>
        <v>11.365653246541903</v>
      </c>
    </row>
    <row r="234" spans="1:13" ht="15" customHeight="1" x14ac:dyDescent="0.3">
      <c r="A234" s="6" t="s">
        <v>331</v>
      </c>
      <c r="B234" s="6" t="s">
        <v>292</v>
      </c>
      <c r="C234" s="6" t="s">
        <v>293</v>
      </c>
      <c r="D234" s="6" t="s">
        <v>550</v>
      </c>
      <c r="E234" s="8">
        <v>528.1</v>
      </c>
      <c r="F234" s="9">
        <f t="shared" si="12"/>
        <v>3321.64338</v>
      </c>
      <c r="G234" s="8">
        <v>355.4</v>
      </c>
      <c r="H234" s="8">
        <v>1599.8</v>
      </c>
      <c r="I234" s="9">
        <v>8461</v>
      </c>
      <c r="J234" s="23">
        <f t="shared" si="13"/>
        <v>0.96586757990867578</v>
      </c>
      <c r="K234" s="7">
        <v>12</v>
      </c>
      <c r="L234" s="8">
        <f t="shared" si="14"/>
        <v>9.1003928219178079</v>
      </c>
      <c r="M234" s="8">
        <f t="shared" si="15"/>
        <v>9.4219880770594493</v>
      </c>
    </row>
    <row r="235" spans="1:13" ht="15" customHeight="1" x14ac:dyDescent="0.3">
      <c r="A235" s="6" t="s">
        <v>332</v>
      </c>
      <c r="B235" s="6" t="s">
        <v>85</v>
      </c>
      <c r="C235" s="6" t="s">
        <v>86</v>
      </c>
      <c r="D235" s="6" t="s">
        <v>549</v>
      </c>
      <c r="E235" s="8">
        <v>523.9</v>
      </c>
      <c r="F235" s="9">
        <f t="shared" si="12"/>
        <v>3295.2262199999996</v>
      </c>
      <c r="G235" s="8">
        <v>0</v>
      </c>
      <c r="H235" s="8">
        <v>212.1</v>
      </c>
      <c r="I235" s="9">
        <v>7852</v>
      </c>
      <c r="J235" s="23">
        <f t="shared" si="13"/>
        <v>0.89634703196347032</v>
      </c>
      <c r="K235" s="7">
        <v>12</v>
      </c>
      <c r="L235" s="8">
        <f t="shared" si="14"/>
        <v>9.0280170410958895</v>
      </c>
      <c r="M235" s="8">
        <f t="shared" si="15"/>
        <v>10.072010860927151</v>
      </c>
    </row>
    <row r="236" spans="1:13" ht="15" customHeight="1" x14ac:dyDescent="0.3">
      <c r="A236" s="6" t="s">
        <v>333</v>
      </c>
      <c r="B236" s="6" t="s">
        <v>173</v>
      </c>
      <c r="C236" s="6" t="s">
        <v>174</v>
      </c>
      <c r="D236" s="6" t="s">
        <v>549</v>
      </c>
      <c r="E236" s="8">
        <v>519.1</v>
      </c>
      <c r="F236" s="9">
        <f t="shared" si="12"/>
        <v>3265.0351799999999</v>
      </c>
      <c r="G236" s="8">
        <v>627.70000000000005</v>
      </c>
      <c r="H236" s="8">
        <v>3.5</v>
      </c>
      <c r="I236" s="9">
        <v>7911</v>
      </c>
      <c r="J236" s="23">
        <f t="shared" si="13"/>
        <v>0.90308219178082194</v>
      </c>
      <c r="K236" s="7">
        <v>12</v>
      </c>
      <c r="L236" s="8">
        <f t="shared" si="14"/>
        <v>8.9453018630136985</v>
      </c>
      <c r="M236" s="8">
        <f t="shared" si="15"/>
        <v>9.9053020250284405</v>
      </c>
    </row>
    <row r="237" spans="1:13" ht="15" customHeight="1" x14ac:dyDescent="0.3">
      <c r="A237" s="6" t="s">
        <v>417</v>
      </c>
      <c r="B237" s="6" t="s">
        <v>278</v>
      </c>
      <c r="C237" s="6" t="s">
        <v>279</v>
      </c>
      <c r="D237" s="6" t="s">
        <v>550</v>
      </c>
      <c r="E237" s="8">
        <v>516.6</v>
      </c>
      <c r="F237" s="9">
        <f t="shared" si="12"/>
        <v>3249.31068</v>
      </c>
      <c r="G237" s="8">
        <v>1927.8</v>
      </c>
      <c r="H237" s="8">
        <v>999.3</v>
      </c>
      <c r="I237" s="9">
        <v>6681</v>
      </c>
      <c r="J237" s="23">
        <f t="shared" si="13"/>
        <v>0.76267123287671235</v>
      </c>
      <c r="K237" s="7">
        <v>10</v>
      </c>
      <c r="L237" s="8">
        <f t="shared" si="14"/>
        <v>8.9022210410958902</v>
      </c>
      <c r="M237" s="8">
        <f t="shared" si="15"/>
        <v>11.672422739110912</v>
      </c>
    </row>
    <row r="238" spans="1:13" ht="15" customHeight="1" x14ac:dyDescent="0.3">
      <c r="A238" s="6" t="s">
        <v>334</v>
      </c>
      <c r="B238" s="6" t="s">
        <v>278</v>
      </c>
      <c r="C238" s="6" t="s">
        <v>279</v>
      </c>
      <c r="D238" s="6" t="s">
        <v>550</v>
      </c>
      <c r="E238" s="8">
        <v>499</v>
      </c>
      <c r="F238" s="9">
        <f t="shared" si="12"/>
        <v>3138.6101999999996</v>
      </c>
      <c r="G238" s="8">
        <v>900.7</v>
      </c>
      <c r="H238" s="8">
        <v>667.7</v>
      </c>
      <c r="I238" s="9">
        <v>8734</v>
      </c>
      <c r="J238" s="23">
        <f t="shared" si="13"/>
        <v>0.99703196347031964</v>
      </c>
      <c r="K238" s="7">
        <v>12</v>
      </c>
      <c r="L238" s="8">
        <f t="shared" si="14"/>
        <v>8.5989320547945187</v>
      </c>
      <c r="M238" s="8">
        <f t="shared" si="15"/>
        <v>8.6245299748110824</v>
      </c>
    </row>
    <row r="239" spans="1:13" ht="15" customHeight="1" x14ac:dyDescent="0.3">
      <c r="A239" s="6" t="s">
        <v>483</v>
      </c>
      <c r="B239" s="6" t="s">
        <v>348</v>
      </c>
      <c r="C239" s="6" t="s">
        <v>349</v>
      </c>
      <c r="D239" s="6" t="s">
        <v>550</v>
      </c>
      <c r="E239" s="8">
        <v>490.1</v>
      </c>
      <c r="F239" s="9">
        <f t="shared" si="12"/>
        <v>3082.6309799999999</v>
      </c>
      <c r="G239" s="8">
        <v>183.3</v>
      </c>
      <c r="H239" s="8">
        <v>306.2</v>
      </c>
      <c r="I239" s="9">
        <v>7683</v>
      </c>
      <c r="J239" s="23">
        <f t="shared" si="13"/>
        <v>0.87705479452054791</v>
      </c>
      <c r="K239" s="7">
        <v>11</v>
      </c>
      <c r="L239" s="8">
        <f t="shared" si="14"/>
        <v>8.4455643287671229</v>
      </c>
      <c r="M239" s="8">
        <f t="shared" si="15"/>
        <v>9.6294603045685268</v>
      </c>
    </row>
    <row r="240" spans="1:13" ht="15" customHeight="1" x14ac:dyDescent="0.3">
      <c r="A240" s="6" t="s">
        <v>419</v>
      </c>
      <c r="B240" s="6" t="s">
        <v>322</v>
      </c>
      <c r="C240" s="6" t="s">
        <v>323</v>
      </c>
      <c r="D240" s="6" t="s">
        <v>550</v>
      </c>
      <c r="E240" s="8">
        <v>484.4</v>
      </c>
      <c r="F240" s="9">
        <f t="shared" si="12"/>
        <v>3046.7791199999997</v>
      </c>
      <c r="G240" s="8">
        <v>394.1</v>
      </c>
      <c r="H240" s="8">
        <v>766.5</v>
      </c>
      <c r="I240" s="9">
        <v>7060</v>
      </c>
      <c r="J240" s="23">
        <f t="shared" si="13"/>
        <v>0.80593607305936077</v>
      </c>
      <c r="K240" s="7">
        <v>12</v>
      </c>
      <c r="L240" s="8">
        <f t="shared" si="14"/>
        <v>8.34734005479452</v>
      </c>
      <c r="M240" s="8">
        <f t="shared" si="15"/>
        <v>10.357322787535409</v>
      </c>
    </row>
    <row r="241" spans="1:13" ht="15" customHeight="1" x14ac:dyDescent="0.3">
      <c r="A241" s="6" t="s">
        <v>484</v>
      </c>
      <c r="B241" s="6" t="s">
        <v>485</v>
      </c>
      <c r="C241" s="6" t="s">
        <v>486</v>
      </c>
      <c r="D241" s="6" t="s">
        <v>551</v>
      </c>
      <c r="E241" s="8">
        <v>484</v>
      </c>
      <c r="F241" s="9">
        <f t="shared" si="12"/>
        <v>3044.2631999999999</v>
      </c>
      <c r="G241" s="8">
        <v>124.8</v>
      </c>
      <c r="H241" s="8">
        <v>3.8</v>
      </c>
      <c r="I241" s="9">
        <v>852</v>
      </c>
      <c r="J241" s="23">
        <f t="shared" si="13"/>
        <v>9.7260273972602743E-2</v>
      </c>
      <c r="K241" s="7">
        <v>2</v>
      </c>
      <c r="L241" s="8">
        <f t="shared" si="14"/>
        <v>8.3404471232876709</v>
      </c>
      <c r="M241" s="8">
        <f t="shared" si="15"/>
        <v>85.753892957746473</v>
      </c>
    </row>
    <row r="242" spans="1:13" ht="15" customHeight="1" x14ac:dyDescent="0.3">
      <c r="A242" s="6" t="s">
        <v>335</v>
      </c>
      <c r="B242" s="6" t="s">
        <v>185</v>
      </c>
      <c r="C242" s="6" t="s">
        <v>186</v>
      </c>
      <c r="D242" s="6" t="s">
        <v>549</v>
      </c>
      <c r="E242" s="8">
        <v>483</v>
      </c>
      <c r="F242" s="9">
        <f t="shared" si="12"/>
        <v>3037.9733999999999</v>
      </c>
      <c r="G242" s="8">
        <v>1387.2</v>
      </c>
      <c r="H242" s="8">
        <v>219.6</v>
      </c>
      <c r="I242" s="9">
        <v>8754</v>
      </c>
      <c r="J242" s="23">
        <f t="shared" si="13"/>
        <v>0.99931506849315066</v>
      </c>
      <c r="K242" s="7">
        <v>12</v>
      </c>
      <c r="L242" s="8">
        <f t="shared" si="14"/>
        <v>8.3232147945205472</v>
      </c>
      <c r="M242" s="8">
        <f t="shared" si="15"/>
        <v>8.3289195339273476</v>
      </c>
    </row>
    <row r="243" spans="1:13" ht="15" customHeight="1" x14ac:dyDescent="0.3">
      <c r="A243" s="6" t="s">
        <v>383</v>
      </c>
      <c r="B243" s="6" t="s">
        <v>242</v>
      </c>
      <c r="C243" s="6" t="s">
        <v>243</v>
      </c>
      <c r="D243" s="6" t="s">
        <v>550</v>
      </c>
      <c r="E243" s="8">
        <v>472.9</v>
      </c>
      <c r="F243" s="9">
        <f t="shared" si="12"/>
        <v>2974.4464199999998</v>
      </c>
      <c r="G243" s="8">
        <v>1559.9</v>
      </c>
      <c r="H243" s="8">
        <v>648.29999999999995</v>
      </c>
      <c r="I243" s="9">
        <v>7756</v>
      </c>
      <c r="J243" s="23">
        <f t="shared" si="13"/>
        <v>0.88538812785388132</v>
      </c>
      <c r="K243" s="7">
        <v>11</v>
      </c>
      <c r="L243" s="8">
        <f t="shared" si="14"/>
        <v>8.1491682739726023</v>
      </c>
      <c r="M243" s="8">
        <f t="shared" si="15"/>
        <v>9.2040631872099006</v>
      </c>
    </row>
    <row r="244" spans="1:13" ht="15" customHeight="1" x14ac:dyDescent="0.3">
      <c r="A244" s="6" t="s">
        <v>336</v>
      </c>
      <c r="B244" s="6" t="s">
        <v>299</v>
      </c>
      <c r="C244" s="6" t="s">
        <v>300</v>
      </c>
      <c r="D244" s="6" t="s">
        <v>550</v>
      </c>
      <c r="E244" s="8">
        <v>472.4</v>
      </c>
      <c r="F244" s="9">
        <f t="shared" si="12"/>
        <v>2971.3015199999995</v>
      </c>
      <c r="G244" s="8">
        <v>2263.4</v>
      </c>
      <c r="H244" s="8">
        <v>164</v>
      </c>
      <c r="I244" s="9">
        <v>7827</v>
      </c>
      <c r="J244" s="23">
        <f t="shared" si="13"/>
        <v>0.89349315068493151</v>
      </c>
      <c r="K244" s="7">
        <v>12</v>
      </c>
      <c r="L244" s="8">
        <f t="shared" si="14"/>
        <v>8.1405521095890396</v>
      </c>
      <c r="M244" s="8">
        <f t="shared" si="15"/>
        <v>9.1109283863549244</v>
      </c>
    </row>
    <row r="245" spans="1:13" ht="15" customHeight="1" x14ac:dyDescent="0.3">
      <c r="A245" s="6" t="s">
        <v>487</v>
      </c>
      <c r="B245" s="6" t="s">
        <v>461</v>
      </c>
      <c r="C245" s="6" t="s">
        <v>462</v>
      </c>
      <c r="D245" s="6" t="s">
        <v>549</v>
      </c>
      <c r="E245" s="8">
        <v>451.9</v>
      </c>
      <c r="F245" s="9">
        <f t="shared" si="12"/>
        <v>2842.3606199999995</v>
      </c>
      <c r="G245" s="8">
        <v>25059.9</v>
      </c>
      <c r="H245" s="8">
        <v>349</v>
      </c>
      <c r="I245" s="9">
        <v>3396</v>
      </c>
      <c r="J245" s="23">
        <f t="shared" si="13"/>
        <v>0.38767123287671235</v>
      </c>
      <c r="K245" s="7">
        <v>5</v>
      </c>
      <c r="L245" s="8">
        <f t="shared" si="14"/>
        <v>7.7872893698630126</v>
      </c>
      <c r="M245" s="8">
        <f t="shared" si="15"/>
        <v>20.087354204946994</v>
      </c>
    </row>
    <row r="246" spans="1:13" ht="15" customHeight="1" x14ac:dyDescent="0.3">
      <c r="A246" s="6" t="s">
        <v>337</v>
      </c>
      <c r="B246" s="6" t="s">
        <v>325</v>
      </c>
      <c r="C246" s="6" t="s">
        <v>326</v>
      </c>
      <c r="D246" s="6" t="s">
        <v>550</v>
      </c>
      <c r="E246" s="8">
        <v>451.6</v>
      </c>
      <c r="F246" s="9">
        <f t="shared" si="12"/>
        <v>2840.4736800000001</v>
      </c>
      <c r="G246" s="8">
        <v>3470.3</v>
      </c>
      <c r="H246" s="8">
        <v>1048.8</v>
      </c>
      <c r="I246" s="9">
        <v>8722</v>
      </c>
      <c r="J246" s="23">
        <f t="shared" si="13"/>
        <v>0.99566210045662096</v>
      </c>
      <c r="K246" s="7">
        <v>12</v>
      </c>
      <c r="L246" s="8">
        <f t="shared" si="14"/>
        <v>7.7821196712328771</v>
      </c>
      <c r="M246" s="8">
        <f t="shared" si="15"/>
        <v>7.8160248016509977</v>
      </c>
    </row>
    <row r="247" spans="1:13" ht="15" customHeight="1" x14ac:dyDescent="0.3">
      <c r="A247" s="6" t="s">
        <v>338</v>
      </c>
      <c r="B247" s="6" t="s">
        <v>100</v>
      </c>
      <c r="C247" s="6" t="s">
        <v>101</v>
      </c>
      <c r="D247" s="6" t="s">
        <v>550</v>
      </c>
      <c r="E247" s="8">
        <v>448.7</v>
      </c>
      <c r="F247" s="9">
        <f t="shared" si="12"/>
        <v>2822.23326</v>
      </c>
      <c r="G247" s="8">
        <v>1766.5</v>
      </c>
      <c r="H247" s="8">
        <v>204.9</v>
      </c>
      <c r="I247" s="9">
        <v>7698</v>
      </c>
      <c r="J247" s="23">
        <f t="shared" si="13"/>
        <v>0.87876712328767126</v>
      </c>
      <c r="K247" s="7">
        <v>12</v>
      </c>
      <c r="L247" s="8">
        <f t="shared" si="14"/>
        <v>7.7321459178082188</v>
      </c>
      <c r="M247" s="8">
        <f t="shared" si="15"/>
        <v>8.7988566173031959</v>
      </c>
    </row>
    <row r="248" spans="1:13" ht="15" customHeight="1" x14ac:dyDescent="0.3">
      <c r="A248" s="6" t="s">
        <v>339</v>
      </c>
      <c r="B248" s="6" t="s">
        <v>272</v>
      </c>
      <c r="C248" s="6" t="s">
        <v>273</v>
      </c>
      <c r="D248" s="6" t="s">
        <v>550</v>
      </c>
      <c r="E248" s="8">
        <v>431.6</v>
      </c>
      <c r="F248" s="9">
        <f t="shared" si="12"/>
        <v>2714.6776799999998</v>
      </c>
      <c r="G248" s="8">
        <v>382.6</v>
      </c>
      <c r="H248" s="8">
        <v>358.8</v>
      </c>
      <c r="I248" s="9">
        <v>8496</v>
      </c>
      <c r="J248" s="23">
        <f t="shared" si="13"/>
        <v>0.96986301369863015</v>
      </c>
      <c r="K248" s="7">
        <v>12</v>
      </c>
      <c r="L248" s="8">
        <f t="shared" si="14"/>
        <v>7.4374730958904101</v>
      </c>
      <c r="M248" s="8">
        <f t="shared" si="15"/>
        <v>7.668581016949152</v>
      </c>
    </row>
    <row r="249" spans="1:13" ht="15" customHeight="1" x14ac:dyDescent="0.3">
      <c r="A249" s="6" t="s">
        <v>340</v>
      </c>
      <c r="B249" s="6" t="s">
        <v>85</v>
      </c>
      <c r="C249" s="6" t="s">
        <v>86</v>
      </c>
      <c r="D249" s="6" t="s">
        <v>549</v>
      </c>
      <c r="E249" s="8">
        <v>428.9</v>
      </c>
      <c r="F249" s="9">
        <f t="shared" si="12"/>
        <v>2697.6952199999996</v>
      </c>
      <c r="G249" s="8">
        <v>65.900000000000006</v>
      </c>
      <c r="H249" s="8">
        <v>15.2</v>
      </c>
      <c r="I249" s="9">
        <v>8316</v>
      </c>
      <c r="J249" s="23">
        <f t="shared" si="13"/>
        <v>0.94931506849315073</v>
      </c>
      <c r="K249" s="7">
        <v>12</v>
      </c>
      <c r="L249" s="8">
        <f t="shared" si="14"/>
        <v>7.3909458082191772</v>
      </c>
      <c r="M249" s="8">
        <f t="shared" si="15"/>
        <v>7.7855561904761892</v>
      </c>
    </row>
    <row r="250" spans="1:13" ht="15" customHeight="1" x14ac:dyDescent="0.3">
      <c r="A250" s="6" t="s">
        <v>341</v>
      </c>
      <c r="B250" s="6" t="s">
        <v>322</v>
      </c>
      <c r="C250" s="6" t="s">
        <v>323</v>
      </c>
      <c r="D250" s="6" t="s">
        <v>550</v>
      </c>
      <c r="E250" s="8">
        <v>416.1</v>
      </c>
      <c r="F250" s="9">
        <f t="shared" si="12"/>
        <v>2617.1857799999998</v>
      </c>
      <c r="G250" s="8">
        <v>681.5</v>
      </c>
      <c r="H250" s="8">
        <v>542.79999999999995</v>
      </c>
      <c r="I250" s="9">
        <v>8748</v>
      </c>
      <c r="J250" s="23">
        <f t="shared" si="13"/>
        <v>0.99863013698630132</v>
      </c>
      <c r="K250" s="7">
        <v>12</v>
      </c>
      <c r="L250" s="8">
        <f t="shared" si="14"/>
        <v>7.1703719999999995</v>
      </c>
      <c r="M250" s="8">
        <f t="shared" si="15"/>
        <v>7.1802079012345672</v>
      </c>
    </row>
    <row r="251" spans="1:13" ht="15" customHeight="1" x14ac:dyDescent="0.3">
      <c r="A251" s="6" t="s">
        <v>342</v>
      </c>
      <c r="B251" s="6" t="s">
        <v>135</v>
      </c>
      <c r="C251" s="6" t="s">
        <v>136</v>
      </c>
      <c r="D251" s="6" t="s">
        <v>550</v>
      </c>
      <c r="E251" s="8">
        <v>413.5</v>
      </c>
      <c r="F251" s="9">
        <f t="shared" si="12"/>
        <v>2600.8323</v>
      </c>
      <c r="G251" s="8">
        <v>1022.8</v>
      </c>
      <c r="H251" s="8">
        <v>188.4</v>
      </c>
      <c r="I251" s="9">
        <v>7019</v>
      </c>
      <c r="J251" s="23">
        <f t="shared" si="13"/>
        <v>0.80125570776255706</v>
      </c>
      <c r="K251" s="7">
        <v>12</v>
      </c>
      <c r="L251" s="8">
        <f t="shared" si="14"/>
        <v>7.1255679452054794</v>
      </c>
      <c r="M251" s="8">
        <f t="shared" si="15"/>
        <v>8.8930011682575874</v>
      </c>
    </row>
    <row r="252" spans="1:13" ht="15" customHeight="1" x14ac:dyDescent="0.3">
      <c r="A252" s="6" t="s">
        <v>343</v>
      </c>
      <c r="B252" s="6" t="s">
        <v>185</v>
      </c>
      <c r="C252" s="6" t="s">
        <v>186</v>
      </c>
      <c r="D252" s="6" t="s">
        <v>549</v>
      </c>
      <c r="E252" s="8">
        <v>412.7</v>
      </c>
      <c r="F252" s="9">
        <f t="shared" si="12"/>
        <v>2595.8004599999999</v>
      </c>
      <c r="G252" s="8">
        <v>2240.6</v>
      </c>
      <c r="H252" s="8">
        <v>579.79999999999995</v>
      </c>
      <c r="I252" s="9">
        <v>8751</v>
      </c>
      <c r="J252" s="23">
        <f t="shared" si="13"/>
        <v>0.99897260273972599</v>
      </c>
      <c r="K252" s="7">
        <v>12</v>
      </c>
      <c r="L252" s="8">
        <f t="shared" si="14"/>
        <v>7.1117820821917803</v>
      </c>
      <c r="M252" s="8">
        <f t="shared" si="15"/>
        <v>7.1190962221460401</v>
      </c>
    </row>
    <row r="253" spans="1:13" ht="15" customHeight="1" x14ac:dyDescent="0.3">
      <c r="A253" s="6" t="s">
        <v>344</v>
      </c>
      <c r="B253" s="6" t="s">
        <v>85</v>
      </c>
      <c r="C253" s="6" t="s">
        <v>86</v>
      </c>
      <c r="D253" s="6" t="s">
        <v>549</v>
      </c>
      <c r="E253" s="8">
        <v>398</v>
      </c>
      <c r="F253" s="9">
        <f t="shared" si="12"/>
        <v>2503.3404</v>
      </c>
      <c r="G253" s="8">
        <v>141</v>
      </c>
      <c r="H253" s="8">
        <v>0.9</v>
      </c>
      <c r="I253" s="9">
        <v>8259</v>
      </c>
      <c r="J253" s="23">
        <f t="shared" si="13"/>
        <v>0.94280821917808222</v>
      </c>
      <c r="K253" s="7">
        <v>12</v>
      </c>
      <c r="L253" s="8">
        <f t="shared" si="14"/>
        <v>6.8584668493150689</v>
      </c>
      <c r="M253" s="8">
        <f t="shared" si="15"/>
        <v>7.2745089720305121</v>
      </c>
    </row>
    <row r="254" spans="1:13" ht="15" customHeight="1" x14ac:dyDescent="0.3">
      <c r="A254" s="6" t="s">
        <v>345</v>
      </c>
      <c r="B254" s="6" t="s">
        <v>135</v>
      </c>
      <c r="C254" s="6" t="s">
        <v>136</v>
      </c>
      <c r="D254" s="6" t="s">
        <v>550</v>
      </c>
      <c r="E254" s="8">
        <v>396.2</v>
      </c>
      <c r="F254" s="9">
        <f t="shared" si="12"/>
        <v>2492.0187599999999</v>
      </c>
      <c r="G254" s="8">
        <v>1505.9</v>
      </c>
      <c r="H254" s="8">
        <v>361.4</v>
      </c>
      <c r="I254" s="9">
        <v>6757</v>
      </c>
      <c r="J254" s="23">
        <f t="shared" si="13"/>
        <v>0.77134703196347032</v>
      </c>
      <c r="K254" s="7">
        <v>12</v>
      </c>
      <c r="L254" s="8">
        <f t="shared" si="14"/>
        <v>6.8274486575342461</v>
      </c>
      <c r="M254" s="8">
        <f t="shared" si="15"/>
        <v>8.8513319875684466</v>
      </c>
    </row>
    <row r="255" spans="1:13" ht="15" customHeight="1" x14ac:dyDescent="0.3">
      <c r="A255" s="6" t="s">
        <v>346</v>
      </c>
      <c r="B255" s="6" t="s">
        <v>311</v>
      </c>
      <c r="C255" s="6" t="s">
        <v>312</v>
      </c>
      <c r="D255" s="6" t="s">
        <v>550</v>
      </c>
      <c r="E255" s="8">
        <v>390.3</v>
      </c>
      <c r="F255" s="9">
        <f t="shared" si="12"/>
        <v>2454.9089399999998</v>
      </c>
      <c r="G255" s="8">
        <v>2028.4</v>
      </c>
      <c r="H255" s="8">
        <v>343.7</v>
      </c>
      <c r="I255" s="9">
        <v>8740</v>
      </c>
      <c r="J255" s="23">
        <f t="shared" si="13"/>
        <v>0.99771689497716898</v>
      </c>
      <c r="K255" s="7">
        <v>12</v>
      </c>
      <c r="L255" s="8">
        <f t="shared" si="14"/>
        <v>6.7257779178082187</v>
      </c>
      <c r="M255" s="8">
        <f t="shared" si="15"/>
        <v>6.7411687139588095</v>
      </c>
    </row>
    <row r="256" spans="1:13" ht="15" customHeight="1" x14ac:dyDescent="0.3">
      <c r="A256" s="6" t="s">
        <v>347</v>
      </c>
      <c r="B256" s="6" t="s">
        <v>348</v>
      </c>
      <c r="C256" s="6" t="s">
        <v>349</v>
      </c>
      <c r="D256" s="6" t="s">
        <v>550</v>
      </c>
      <c r="E256" s="8">
        <v>381.2</v>
      </c>
      <c r="F256" s="9">
        <f t="shared" si="12"/>
        <v>2397.6717599999997</v>
      </c>
      <c r="G256" s="8">
        <v>131.1</v>
      </c>
      <c r="H256" s="8">
        <v>167.3</v>
      </c>
      <c r="I256" s="9">
        <v>8520</v>
      </c>
      <c r="J256" s="23">
        <f t="shared" si="13"/>
        <v>0.9726027397260274</v>
      </c>
      <c r="K256" s="7">
        <v>12</v>
      </c>
      <c r="L256" s="8">
        <f t="shared" si="14"/>
        <v>6.5689637260273965</v>
      </c>
      <c r="M256" s="8">
        <f t="shared" si="15"/>
        <v>6.7540049577464778</v>
      </c>
    </row>
    <row r="257" spans="1:13" ht="15" customHeight="1" x14ac:dyDescent="0.3">
      <c r="A257" s="6" t="s">
        <v>350</v>
      </c>
      <c r="B257" s="6" t="s">
        <v>275</v>
      </c>
      <c r="C257" s="6" t="s">
        <v>276</v>
      </c>
      <c r="D257" s="6" t="s">
        <v>550</v>
      </c>
      <c r="E257" s="8">
        <v>380</v>
      </c>
      <c r="F257" s="9">
        <f t="shared" si="12"/>
        <v>2390.1239999999998</v>
      </c>
      <c r="G257" s="8">
        <v>636</v>
      </c>
      <c r="H257" s="8">
        <v>293.39999999999998</v>
      </c>
      <c r="I257" s="9">
        <v>8743</v>
      </c>
      <c r="J257" s="23">
        <f t="shared" si="13"/>
        <v>0.99805936073059365</v>
      </c>
      <c r="K257" s="7">
        <v>12</v>
      </c>
      <c r="L257" s="8">
        <f t="shared" si="14"/>
        <v>6.5482849315068483</v>
      </c>
      <c r="M257" s="8">
        <f t="shared" si="15"/>
        <v>6.5610174997140565</v>
      </c>
    </row>
    <row r="258" spans="1:13" ht="15" customHeight="1" x14ac:dyDescent="0.3">
      <c r="A258" s="6" t="s">
        <v>351</v>
      </c>
      <c r="B258" s="6" t="s">
        <v>352</v>
      </c>
      <c r="C258" s="6" t="s">
        <v>353</v>
      </c>
      <c r="D258" s="6" t="s">
        <v>550</v>
      </c>
      <c r="E258" s="8">
        <v>364.2</v>
      </c>
      <c r="F258" s="9">
        <f t="shared" si="12"/>
        <v>2290.7451599999999</v>
      </c>
      <c r="G258" s="8">
        <v>71.400000000000006</v>
      </c>
      <c r="H258" s="8">
        <v>159.1</v>
      </c>
      <c r="I258" s="9">
        <v>8680</v>
      </c>
      <c r="J258" s="23">
        <f t="shared" si="13"/>
        <v>0.9908675799086758</v>
      </c>
      <c r="K258" s="7">
        <v>12</v>
      </c>
      <c r="L258" s="8">
        <f t="shared" si="14"/>
        <v>6.2760141369863014</v>
      </c>
      <c r="M258" s="8">
        <f t="shared" si="15"/>
        <v>6.3338575852534555</v>
      </c>
    </row>
    <row r="259" spans="1:13" ht="15" customHeight="1" x14ac:dyDescent="0.3">
      <c r="A259" s="6" t="s">
        <v>421</v>
      </c>
      <c r="B259" s="6" t="s">
        <v>311</v>
      </c>
      <c r="C259" s="6" t="s">
        <v>312</v>
      </c>
      <c r="D259" s="6" t="s">
        <v>550</v>
      </c>
      <c r="E259" s="8">
        <v>359.2</v>
      </c>
      <c r="F259" s="9">
        <f t="shared" si="12"/>
        <v>2259.2961599999999</v>
      </c>
      <c r="G259" s="8">
        <v>752.3</v>
      </c>
      <c r="H259" s="8">
        <v>289.2</v>
      </c>
      <c r="I259" s="9">
        <v>7175</v>
      </c>
      <c r="J259" s="23">
        <f t="shared" si="13"/>
        <v>0.81906392694063923</v>
      </c>
      <c r="K259" s="7">
        <v>10</v>
      </c>
      <c r="L259" s="8">
        <f t="shared" si="14"/>
        <v>6.1898524931506849</v>
      </c>
      <c r="M259" s="8">
        <f t="shared" si="15"/>
        <v>7.5572275735191639</v>
      </c>
    </row>
    <row r="260" spans="1:13" ht="15" customHeight="1" x14ac:dyDescent="0.3">
      <c r="A260" s="6" t="s">
        <v>354</v>
      </c>
      <c r="B260" s="6" t="s">
        <v>272</v>
      </c>
      <c r="C260" s="6" t="s">
        <v>273</v>
      </c>
      <c r="D260" s="6" t="s">
        <v>550</v>
      </c>
      <c r="E260" s="8">
        <v>335.8</v>
      </c>
      <c r="F260" s="9">
        <f t="shared" si="12"/>
        <v>2112.1148399999997</v>
      </c>
      <c r="G260" s="8">
        <v>126.5</v>
      </c>
      <c r="H260" s="8">
        <v>0.9</v>
      </c>
      <c r="I260" s="9">
        <v>8760</v>
      </c>
      <c r="J260" s="23">
        <f t="shared" si="13"/>
        <v>1</v>
      </c>
      <c r="K260" s="7">
        <v>12</v>
      </c>
      <c r="L260" s="8">
        <f t="shared" si="14"/>
        <v>5.7866159999999995</v>
      </c>
      <c r="M260" s="8">
        <f t="shared" si="15"/>
        <v>5.7866159999999995</v>
      </c>
    </row>
    <row r="261" spans="1:13" ht="15" customHeight="1" x14ac:dyDescent="0.3">
      <c r="A261" s="6" t="s">
        <v>355</v>
      </c>
      <c r="B261" s="6" t="s">
        <v>80</v>
      </c>
      <c r="C261" s="6" t="s">
        <v>81</v>
      </c>
      <c r="D261" s="6" t="s">
        <v>550</v>
      </c>
      <c r="E261" s="8">
        <v>328.6</v>
      </c>
      <c r="F261" s="9">
        <f t="shared" ref="F261:F324" si="16">E261*6.2898</f>
        <v>2066.8282800000002</v>
      </c>
      <c r="G261" s="8">
        <v>1541.5</v>
      </c>
      <c r="H261" s="8">
        <v>502.7</v>
      </c>
      <c r="I261" s="9">
        <v>8742</v>
      </c>
      <c r="J261" s="23">
        <f t="shared" ref="J261:J324" si="17">I261/(365*24)</f>
        <v>0.99794520547945209</v>
      </c>
      <c r="K261" s="7">
        <v>12</v>
      </c>
      <c r="L261" s="8">
        <f t="shared" ref="L261:L289" si="18">F261/365</f>
        <v>5.6625432328767129</v>
      </c>
      <c r="M261" s="8">
        <f t="shared" ref="M261:M289" si="19">IF(I261&gt;0,F261/(I261/24),0)</f>
        <v>5.6742025531914901</v>
      </c>
    </row>
    <row r="262" spans="1:13" ht="15" customHeight="1" x14ac:dyDescent="0.3">
      <c r="A262" s="6" t="s">
        <v>490</v>
      </c>
      <c r="B262" s="6" t="s">
        <v>85</v>
      </c>
      <c r="C262" s="6" t="s">
        <v>86</v>
      </c>
      <c r="D262" s="6" t="s">
        <v>549</v>
      </c>
      <c r="E262" s="8">
        <v>307.39999999999998</v>
      </c>
      <c r="F262" s="9">
        <f t="shared" si="16"/>
        <v>1933.4845199999997</v>
      </c>
      <c r="G262" s="8">
        <v>131</v>
      </c>
      <c r="H262" s="8">
        <v>172.8</v>
      </c>
      <c r="I262" s="9">
        <v>7863</v>
      </c>
      <c r="J262" s="23">
        <f t="shared" si="17"/>
        <v>0.89760273972602744</v>
      </c>
      <c r="K262" s="7">
        <v>12</v>
      </c>
      <c r="L262" s="8">
        <f t="shared" si="18"/>
        <v>5.2972178630136977</v>
      </c>
      <c r="M262" s="8">
        <f t="shared" si="19"/>
        <v>5.9015170392979774</v>
      </c>
    </row>
    <row r="263" spans="1:13" ht="15" customHeight="1" x14ac:dyDescent="0.3">
      <c r="A263" s="6" t="s">
        <v>424</v>
      </c>
      <c r="B263" s="6" t="s">
        <v>299</v>
      </c>
      <c r="C263" s="6" t="s">
        <v>300</v>
      </c>
      <c r="D263" s="6" t="s">
        <v>550</v>
      </c>
      <c r="E263" s="8">
        <v>286.5</v>
      </c>
      <c r="F263" s="9">
        <f t="shared" si="16"/>
        <v>1802.0276999999999</v>
      </c>
      <c r="G263" s="8">
        <v>1779.7</v>
      </c>
      <c r="H263" s="8">
        <v>888.4</v>
      </c>
      <c r="I263" s="9">
        <v>7254</v>
      </c>
      <c r="J263" s="23">
        <f t="shared" si="17"/>
        <v>0.82808219178082187</v>
      </c>
      <c r="K263" s="7">
        <v>10</v>
      </c>
      <c r="L263" s="8">
        <f t="shared" si="18"/>
        <v>4.9370621917808215</v>
      </c>
      <c r="M263" s="8">
        <f t="shared" si="19"/>
        <v>5.9620436724565753</v>
      </c>
    </row>
    <row r="264" spans="1:13" ht="15" customHeight="1" x14ac:dyDescent="0.3">
      <c r="A264" s="6" t="s">
        <v>356</v>
      </c>
      <c r="B264" s="6" t="s">
        <v>299</v>
      </c>
      <c r="C264" s="6" t="s">
        <v>300</v>
      </c>
      <c r="D264" s="6" t="s">
        <v>550</v>
      </c>
      <c r="E264" s="8">
        <v>270.60000000000002</v>
      </c>
      <c r="F264" s="9">
        <f t="shared" si="16"/>
        <v>1702.0198800000001</v>
      </c>
      <c r="G264" s="8">
        <v>155.5</v>
      </c>
      <c r="H264" s="8">
        <v>374.5</v>
      </c>
      <c r="I264" s="9">
        <v>8732</v>
      </c>
      <c r="J264" s="23">
        <f t="shared" si="17"/>
        <v>0.99680365296803652</v>
      </c>
      <c r="K264" s="7">
        <v>12</v>
      </c>
      <c r="L264" s="8">
        <f t="shared" si="18"/>
        <v>4.6630681643835619</v>
      </c>
      <c r="M264" s="8">
        <f t="shared" si="19"/>
        <v>4.6780207420980302</v>
      </c>
    </row>
    <row r="265" spans="1:13" ht="15" customHeight="1" x14ac:dyDescent="0.3">
      <c r="A265" s="6" t="s">
        <v>357</v>
      </c>
      <c r="B265" s="6" t="s">
        <v>275</v>
      </c>
      <c r="C265" s="6" t="s">
        <v>276</v>
      </c>
      <c r="D265" s="6" t="s">
        <v>550</v>
      </c>
      <c r="E265" s="8">
        <v>262.3</v>
      </c>
      <c r="F265" s="9">
        <f t="shared" si="16"/>
        <v>1649.8145400000001</v>
      </c>
      <c r="G265" s="8">
        <v>132</v>
      </c>
      <c r="H265" s="8">
        <v>191.2</v>
      </c>
      <c r="I265" s="9">
        <v>8480</v>
      </c>
      <c r="J265" s="23">
        <f t="shared" si="17"/>
        <v>0.96803652968036524</v>
      </c>
      <c r="K265" s="7">
        <v>12</v>
      </c>
      <c r="L265" s="8">
        <f t="shared" si="18"/>
        <v>4.5200398356164389</v>
      </c>
      <c r="M265" s="8">
        <f t="shared" si="19"/>
        <v>4.6692864339622648</v>
      </c>
    </row>
    <row r="266" spans="1:13" ht="15" customHeight="1" x14ac:dyDescent="0.3">
      <c r="A266" s="6" t="s">
        <v>491</v>
      </c>
      <c r="B266" s="6" t="s">
        <v>348</v>
      </c>
      <c r="C266" s="6" t="s">
        <v>349</v>
      </c>
      <c r="D266" s="6" t="s">
        <v>550</v>
      </c>
      <c r="E266" s="8">
        <v>243.2</v>
      </c>
      <c r="F266" s="9">
        <f t="shared" si="16"/>
        <v>1529.6793599999999</v>
      </c>
      <c r="G266" s="8">
        <v>102.9</v>
      </c>
      <c r="H266" s="8">
        <v>1</v>
      </c>
      <c r="I266" s="9">
        <v>6912</v>
      </c>
      <c r="J266" s="23">
        <f t="shared" si="17"/>
        <v>0.78904109589041094</v>
      </c>
      <c r="K266" s="7">
        <v>10</v>
      </c>
      <c r="L266" s="8">
        <f t="shared" si="18"/>
        <v>4.1909023561643828</v>
      </c>
      <c r="M266" s="8">
        <f t="shared" si="19"/>
        <v>5.3113866666666665</v>
      </c>
    </row>
    <row r="267" spans="1:13" ht="15" customHeight="1" x14ac:dyDescent="0.3">
      <c r="A267" s="6" t="s">
        <v>358</v>
      </c>
      <c r="B267" s="6" t="s">
        <v>352</v>
      </c>
      <c r="C267" s="6" t="s">
        <v>353</v>
      </c>
      <c r="D267" s="6" t="s">
        <v>550</v>
      </c>
      <c r="E267" s="8">
        <v>240.2</v>
      </c>
      <c r="F267" s="9">
        <f t="shared" si="16"/>
        <v>1510.8099599999998</v>
      </c>
      <c r="G267" s="8">
        <v>50.3</v>
      </c>
      <c r="H267" s="8">
        <v>229.7</v>
      </c>
      <c r="I267" s="9">
        <v>8568</v>
      </c>
      <c r="J267" s="23">
        <f t="shared" si="17"/>
        <v>0.9780821917808219</v>
      </c>
      <c r="K267" s="7">
        <v>12</v>
      </c>
      <c r="L267" s="8">
        <f t="shared" si="18"/>
        <v>4.1392053698630136</v>
      </c>
      <c r="M267" s="8">
        <f t="shared" si="19"/>
        <v>4.2319606722689072</v>
      </c>
    </row>
    <row r="268" spans="1:13" ht="15" customHeight="1" x14ac:dyDescent="0.3">
      <c r="A268" s="6" t="s">
        <v>492</v>
      </c>
      <c r="B268" s="6" t="s">
        <v>71</v>
      </c>
      <c r="C268" s="6" t="s">
        <v>72</v>
      </c>
      <c r="D268" s="6" t="s">
        <v>549</v>
      </c>
      <c r="E268" s="8">
        <v>236.2</v>
      </c>
      <c r="F268" s="9">
        <f t="shared" si="16"/>
        <v>1485.6507599999998</v>
      </c>
      <c r="G268" s="8">
        <v>13752.9</v>
      </c>
      <c r="H268" s="8">
        <v>51.5</v>
      </c>
      <c r="I268" s="9">
        <v>971</v>
      </c>
      <c r="J268" s="23">
        <f t="shared" si="17"/>
        <v>0.11084474885844749</v>
      </c>
      <c r="K268" s="7">
        <v>2</v>
      </c>
      <c r="L268" s="8">
        <f t="shared" si="18"/>
        <v>4.0702760547945198</v>
      </c>
      <c r="M268" s="8">
        <f t="shared" si="19"/>
        <v>36.720513120494324</v>
      </c>
    </row>
    <row r="269" spans="1:13" ht="15" customHeight="1" x14ac:dyDescent="0.3">
      <c r="A269" s="6" t="s">
        <v>359</v>
      </c>
      <c r="B269" s="6" t="s">
        <v>85</v>
      </c>
      <c r="C269" s="6" t="s">
        <v>86</v>
      </c>
      <c r="D269" s="6" t="s">
        <v>549</v>
      </c>
      <c r="E269" s="8">
        <v>234.5</v>
      </c>
      <c r="F269" s="9">
        <f t="shared" si="16"/>
        <v>1474.9580999999998</v>
      </c>
      <c r="G269" s="8">
        <v>261.5</v>
      </c>
      <c r="H269" s="8">
        <v>91.9</v>
      </c>
      <c r="I269" s="9">
        <v>8624</v>
      </c>
      <c r="J269" s="23">
        <f t="shared" si="17"/>
        <v>0.98447488584474885</v>
      </c>
      <c r="K269" s="7">
        <v>12</v>
      </c>
      <c r="L269" s="8">
        <f t="shared" si="18"/>
        <v>4.0409810958904107</v>
      </c>
      <c r="M269" s="8">
        <f t="shared" si="19"/>
        <v>4.1047071428571424</v>
      </c>
    </row>
    <row r="270" spans="1:13" ht="15" customHeight="1" x14ac:dyDescent="0.3">
      <c r="A270" s="6" t="s">
        <v>493</v>
      </c>
      <c r="B270" s="6" t="s">
        <v>272</v>
      </c>
      <c r="C270" s="6" t="s">
        <v>273</v>
      </c>
      <c r="D270" s="6" t="s">
        <v>550</v>
      </c>
      <c r="E270" s="8">
        <v>232.9</v>
      </c>
      <c r="F270" s="9">
        <f t="shared" si="16"/>
        <v>1464.8944199999999</v>
      </c>
      <c r="G270" s="8">
        <v>62.6</v>
      </c>
      <c r="H270" s="8">
        <v>1.3</v>
      </c>
      <c r="I270" s="9">
        <v>7732</v>
      </c>
      <c r="J270" s="23">
        <f t="shared" si="17"/>
        <v>0.88264840182648396</v>
      </c>
      <c r="K270" s="7">
        <v>12</v>
      </c>
      <c r="L270" s="8">
        <f t="shared" si="18"/>
        <v>4.0134093698630133</v>
      </c>
      <c r="M270" s="8">
        <f t="shared" si="19"/>
        <v>4.5470080289705113</v>
      </c>
    </row>
    <row r="271" spans="1:13" ht="15" customHeight="1" x14ac:dyDescent="0.3">
      <c r="A271" s="6" t="s">
        <v>494</v>
      </c>
      <c r="B271" s="6" t="s">
        <v>437</v>
      </c>
      <c r="C271" s="6" t="s">
        <v>438</v>
      </c>
      <c r="D271" s="6" t="s">
        <v>549</v>
      </c>
      <c r="E271" s="8">
        <v>189.3</v>
      </c>
      <c r="F271" s="9">
        <f t="shared" si="16"/>
        <v>1190.65914</v>
      </c>
      <c r="G271" s="8">
        <v>204</v>
      </c>
      <c r="H271" s="8">
        <v>0</v>
      </c>
      <c r="I271" s="9">
        <v>1712</v>
      </c>
      <c r="J271" s="23">
        <f t="shared" si="17"/>
        <v>0.19543378995433791</v>
      </c>
      <c r="K271" s="7">
        <v>3</v>
      </c>
      <c r="L271" s="8">
        <f t="shared" si="18"/>
        <v>3.2620798356164382</v>
      </c>
      <c r="M271" s="8">
        <f t="shared" si="19"/>
        <v>16.691483271028037</v>
      </c>
    </row>
    <row r="272" spans="1:13" ht="15" customHeight="1" x14ac:dyDescent="0.3">
      <c r="A272" s="6" t="s">
        <v>495</v>
      </c>
      <c r="B272" s="6" t="s">
        <v>85</v>
      </c>
      <c r="C272" s="6" t="s">
        <v>86</v>
      </c>
      <c r="D272" s="6" t="s">
        <v>549</v>
      </c>
      <c r="E272" s="8">
        <v>187.8</v>
      </c>
      <c r="F272" s="9">
        <f t="shared" si="16"/>
        <v>1181.22444</v>
      </c>
      <c r="G272" s="8">
        <v>0</v>
      </c>
      <c r="H272" s="8">
        <v>60.5</v>
      </c>
      <c r="I272" s="9">
        <v>2329</v>
      </c>
      <c r="J272" s="23">
        <f t="shared" si="17"/>
        <v>0.26586757990867582</v>
      </c>
      <c r="K272" s="7">
        <v>4</v>
      </c>
      <c r="L272" s="8">
        <f t="shared" si="18"/>
        <v>3.2362313424657532</v>
      </c>
      <c r="M272" s="8">
        <f t="shared" si="19"/>
        <v>12.172342876771145</v>
      </c>
    </row>
    <row r="273" spans="1:13" ht="15" customHeight="1" x14ac:dyDescent="0.3">
      <c r="A273" s="6" t="s">
        <v>496</v>
      </c>
      <c r="B273" s="6" t="s">
        <v>497</v>
      </c>
      <c r="C273" s="6" t="s">
        <v>498</v>
      </c>
      <c r="D273" s="6" t="s">
        <v>551</v>
      </c>
      <c r="E273" s="8">
        <v>168.2</v>
      </c>
      <c r="F273" s="9">
        <f t="shared" si="16"/>
        <v>1057.94436</v>
      </c>
      <c r="G273" s="8">
        <v>6697.2</v>
      </c>
      <c r="H273" s="8">
        <v>14.1</v>
      </c>
      <c r="I273" s="9">
        <v>938</v>
      </c>
      <c r="J273" s="23">
        <f t="shared" si="17"/>
        <v>0.10707762557077626</v>
      </c>
      <c r="K273" s="7">
        <v>2</v>
      </c>
      <c r="L273" s="8">
        <f t="shared" si="18"/>
        <v>2.898477698630137</v>
      </c>
      <c r="M273" s="8">
        <f t="shared" si="19"/>
        <v>27.068938848614071</v>
      </c>
    </row>
    <row r="274" spans="1:13" ht="15" customHeight="1" x14ac:dyDescent="0.3">
      <c r="A274" s="6" t="s">
        <v>499</v>
      </c>
      <c r="B274" s="6" t="s">
        <v>348</v>
      </c>
      <c r="C274" s="6" t="s">
        <v>349</v>
      </c>
      <c r="D274" s="6" t="s">
        <v>550</v>
      </c>
      <c r="E274" s="8">
        <v>166.8</v>
      </c>
      <c r="F274" s="9">
        <f t="shared" si="16"/>
        <v>1049.1386399999999</v>
      </c>
      <c r="G274" s="8">
        <v>172.4</v>
      </c>
      <c r="H274" s="8">
        <v>141</v>
      </c>
      <c r="I274" s="9">
        <v>4824</v>
      </c>
      <c r="J274" s="23">
        <f t="shared" si="17"/>
        <v>0.55068493150684927</v>
      </c>
      <c r="K274" s="7">
        <v>7</v>
      </c>
      <c r="L274" s="8">
        <f t="shared" si="18"/>
        <v>2.8743524383561643</v>
      </c>
      <c r="M274" s="8">
        <f t="shared" si="19"/>
        <v>5.2195952238805967</v>
      </c>
    </row>
    <row r="275" spans="1:13" ht="15" customHeight="1" x14ac:dyDescent="0.3">
      <c r="A275" s="6" t="s">
        <v>500</v>
      </c>
      <c r="B275" s="6" t="s">
        <v>437</v>
      </c>
      <c r="C275" s="6" t="s">
        <v>438</v>
      </c>
      <c r="D275" s="6" t="s">
        <v>549</v>
      </c>
      <c r="E275" s="8">
        <v>111.9</v>
      </c>
      <c r="F275" s="9">
        <f t="shared" si="16"/>
        <v>703.82862</v>
      </c>
      <c r="G275" s="8">
        <v>143.6</v>
      </c>
      <c r="H275" s="8">
        <v>1.8</v>
      </c>
      <c r="I275" s="9">
        <v>1656</v>
      </c>
      <c r="J275" s="23">
        <f t="shared" si="17"/>
        <v>0.18904109589041096</v>
      </c>
      <c r="K275" s="7">
        <v>3</v>
      </c>
      <c r="L275" s="8">
        <f t="shared" si="18"/>
        <v>1.9282975890410958</v>
      </c>
      <c r="M275" s="8">
        <f t="shared" si="19"/>
        <v>10.200414782608696</v>
      </c>
    </row>
    <row r="276" spans="1:13" ht="15" customHeight="1" x14ac:dyDescent="0.3">
      <c r="A276" s="6" t="s">
        <v>501</v>
      </c>
      <c r="B276" s="6" t="s">
        <v>502</v>
      </c>
      <c r="C276" s="6" t="s">
        <v>503</v>
      </c>
      <c r="D276" s="6" t="s">
        <v>551</v>
      </c>
      <c r="E276" s="8">
        <v>110.2</v>
      </c>
      <c r="F276" s="9">
        <f t="shared" si="16"/>
        <v>693.13595999999995</v>
      </c>
      <c r="G276" s="8">
        <v>85.6</v>
      </c>
      <c r="H276" s="8">
        <v>0.8</v>
      </c>
      <c r="I276" s="9">
        <v>194</v>
      </c>
      <c r="J276" s="23">
        <f t="shared" si="17"/>
        <v>2.2146118721461189E-2</v>
      </c>
      <c r="K276" s="7">
        <v>1</v>
      </c>
      <c r="L276" s="8">
        <f t="shared" si="18"/>
        <v>1.8990026301369862</v>
      </c>
      <c r="M276" s="8">
        <f t="shared" si="19"/>
        <v>85.748778556701012</v>
      </c>
    </row>
    <row r="277" spans="1:13" ht="15" customHeight="1" x14ac:dyDescent="0.3">
      <c r="A277" s="6" t="s">
        <v>504</v>
      </c>
      <c r="B277" s="6" t="s">
        <v>505</v>
      </c>
      <c r="C277" s="6" t="s">
        <v>506</v>
      </c>
      <c r="D277" s="6" t="s">
        <v>551</v>
      </c>
      <c r="E277" s="8">
        <v>89.2</v>
      </c>
      <c r="F277" s="9">
        <f t="shared" si="16"/>
        <v>561.05016000000001</v>
      </c>
      <c r="G277" s="8">
        <v>5184.2</v>
      </c>
      <c r="H277" s="8">
        <v>9</v>
      </c>
      <c r="I277" s="9">
        <v>653</v>
      </c>
      <c r="J277" s="23">
        <f t="shared" si="17"/>
        <v>7.4543378995433784E-2</v>
      </c>
      <c r="K277" s="7">
        <v>2</v>
      </c>
      <c r="L277" s="8">
        <f t="shared" si="18"/>
        <v>1.5371237260273973</v>
      </c>
      <c r="M277" s="8">
        <f t="shared" si="19"/>
        <v>20.620526554364474</v>
      </c>
    </row>
    <row r="278" spans="1:13" ht="15" customHeight="1" x14ac:dyDescent="0.3">
      <c r="A278" s="6" t="s">
        <v>507</v>
      </c>
      <c r="B278" s="6" t="s">
        <v>508</v>
      </c>
      <c r="C278" s="6" t="s">
        <v>509</v>
      </c>
      <c r="D278" s="6" t="s">
        <v>549</v>
      </c>
      <c r="E278" s="8">
        <v>80.099999999999994</v>
      </c>
      <c r="F278" s="9">
        <f t="shared" si="16"/>
        <v>503.81297999999992</v>
      </c>
      <c r="G278" s="8">
        <v>3289.4</v>
      </c>
      <c r="H278" s="8">
        <v>182.2</v>
      </c>
      <c r="I278" s="9">
        <v>796</v>
      </c>
      <c r="J278" s="23">
        <f t="shared" si="17"/>
        <v>9.0867579908675805E-2</v>
      </c>
      <c r="K278" s="7">
        <v>2</v>
      </c>
      <c r="L278" s="8">
        <f t="shared" si="18"/>
        <v>1.3803095342465752</v>
      </c>
      <c r="M278" s="8">
        <f t="shared" si="19"/>
        <v>15.190341105527637</v>
      </c>
    </row>
    <row r="279" spans="1:13" ht="15" customHeight="1" x14ac:dyDescent="0.3">
      <c r="A279" s="6" t="s">
        <v>510</v>
      </c>
      <c r="B279" s="6" t="s">
        <v>71</v>
      </c>
      <c r="C279" s="6" t="s">
        <v>72</v>
      </c>
      <c r="D279" s="6" t="s">
        <v>549</v>
      </c>
      <c r="E279" s="8">
        <v>74.2</v>
      </c>
      <c r="F279" s="9">
        <f t="shared" si="16"/>
        <v>466.70315999999997</v>
      </c>
      <c r="G279" s="8">
        <v>4251.5</v>
      </c>
      <c r="H279" s="8">
        <v>16.2</v>
      </c>
      <c r="I279" s="9">
        <v>656</v>
      </c>
      <c r="J279" s="23">
        <f t="shared" si="17"/>
        <v>7.4885844748858441E-2</v>
      </c>
      <c r="K279" s="7">
        <v>2</v>
      </c>
      <c r="L279" s="8">
        <f t="shared" si="18"/>
        <v>1.278638794520548</v>
      </c>
      <c r="M279" s="8">
        <f t="shared" si="19"/>
        <v>17.074505853658536</v>
      </c>
    </row>
    <row r="280" spans="1:13" ht="15" customHeight="1" x14ac:dyDescent="0.3">
      <c r="A280" s="6" t="s">
        <v>511</v>
      </c>
      <c r="B280" s="6" t="s">
        <v>55</v>
      </c>
      <c r="C280" s="6" t="s">
        <v>56</v>
      </c>
      <c r="D280" s="6" t="s">
        <v>549</v>
      </c>
      <c r="E280" s="8">
        <v>61.3</v>
      </c>
      <c r="F280" s="9">
        <f t="shared" si="16"/>
        <v>385.56473999999997</v>
      </c>
      <c r="G280" s="8">
        <v>1376.1</v>
      </c>
      <c r="H280" s="8">
        <v>15.4</v>
      </c>
      <c r="I280" s="9">
        <v>1031</v>
      </c>
      <c r="J280" s="23">
        <f t="shared" si="17"/>
        <v>0.11769406392694064</v>
      </c>
      <c r="K280" s="7">
        <v>2</v>
      </c>
      <c r="L280" s="8">
        <f t="shared" si="18"/>
        <v>1.0563417534246575</v>
      </c>
      <c r="M280" s="8">
        <f t="shared" si="19"/>
        <v>8.9753188748787576</v>
      </c>
    </row>
    <row r="281" spans="1:13" ht="15" customHeight="1" x14ac:dyDescent="0.3">
      <c r="A281" s="6" t="s">
        <v>512</v>
      </c>
      <c r="B281" s="6" t="s">
        <v>513</v>
      </c>
      <c r="C281" s="6" t="s">
        <v>514</v>
      </c>
      <c r="D281" s="6" t="s">
        <v>551</v>
      </c>
      <c r="E281" s="8">
        <v>41.2</v>
      </c>
      <c r="F281" s="9">
        <f t="shared" si="16"/>
        <v>259.13976000000002</v>
      </c>
      <c r="G281" s="8">
        <v>5349.7</v>
      </c>
      <c r="H281" s="8">
        <v>186.4</v>
      </c>
      <c r="I281" s="9">
        <v>667</v>
      </c>
      <c r="J281" s="23">
        <f t="shared" si="17"/>
        <v>7.6141552511415522E-2</v>
      </c>
      <c r="K281" s="7">
        <v>2</v>
      </c>
      <c r="L281" s="8">
        <f t="shared" si="18"/>
        <v>0.70997194520547957</v>
      </c>
      <c r="M281" s="8">
        <f t="shared" si="19"/>
        <v>9.3243691754122935</v>
      </c>
    </row>
    <row r="282" spans="1:13" ht="15" customHeight="1" x14ac:dyDescent="0.3">
      <c r="A282" s="6" t="s">
        <v>515</v>
      </c>
      <c r="B282" s="6" t="s">
        <v>516</v>
      </c>
      <c r="C282" s="6" t="s">
        <v>517</v>
      </c>
      <c r="D282" s="6" t="s">
        <v>550</v>
      </c>
      <c r="E282" s="8">
        <v>15.9</v>
      </c>
      <c r="F282" s="9">
        <f t="shared" si="16"/>
        <v>100.00782</v>
      </c>
      <c r="G282" s="8">
        <v>90.1</v>
      </c>
      <c r="H282" s="8">
        <v>21.5</v>
      </c>
      <c r="I282" s="9">
        <v>204</v>
      </c>
      <c r="J282" s="23">
        <f t="shared" si="17"/>
        <v>2.3287671232876714E-2</v>
      </c>
      <c r="K282" s="7">
        <v>1</v>
      </c>
      <c r="L282" s="8">
        <f t="shared" si="18"/>
        <v>0.27399402739726025</v>
      </c>
      <c r="M282" s="8">
        <f t="shared" si="19"/>
        <v>11.765625882352941</v>
      </c>
    </row>
    <row r="283" spans="1:13" ht="15" customHeight="1" x14ac:dyDescent="0.3">
      <c r="A283" s="6" t="s">
        <v>518</v>
      </c>
      <c r="B283" s="6" t="s">
        <v>516</v>
      </c>
      <c r="C283" s="6" t="s">
        <v>517</v>
      </c>
      <c r="D283" s="6" t="s">
        <v>550</v>
      </c>
      <c r="E283" s="8">
        <v>11.4</v>
      </c>
      <c r="F283" s="9">
        <f t="shared" si="16"/>
        <v>71.703720000000004</v>
      </c>
      <c r="G283" s="8">
        <v>215.6</v>
      </c>
      <c r="H283" s="8">
        <v>25</v>
      </c>
      <c r="I283" s="9">
        <v>204</v>
      </c>
      <c r="J283" s="23">
        <f t="shared" si="17"/>
        <v>2.3287671232876714E-2</v>
      </c>
      <c r="K283" s="7">
        <v>1</v>
      </c>
      <c r="L283" s="8">
        <f t="shared" si="18"/>
        <v>0.1964485479452055</v>
      </c>
      <c r="M283" s="8">
        <f t="shared" si="19"/>
        <v>8.4357317647058832</v>
      </c>
    </row>
    <row r="284" spans="1:13" ht="15" customHeight="1" x14ac:dyDescent="0.3">
      <c r="A284" s="6" t="s">
        <v>519</v>
      </c>
      <c r="B284" s="6" t="s">
        <v>516</v>
      </c>
      <c r="C284" s="6" t="s">
        <v>517</v>
      </c>
      <c r="D284" s="6" t="s">
        <v>550</v>
      </c>
      <c r="E284" s="8">
        <v>3.4</v>
      </c>
      <c r="F284" s="9">
        <f t="shared" si="16"/>
        <v>21.385319999999997</v>
      </c>
      <c r="G284" s="8">
        <v>62.7</v>
      </c>
      <c r="H284" s="8">
        <v>9.6999999999999993</v>
      </c>
      <c r="I284" s="9">
        <v>216</v>
      </c>
      <c r="J284" s="23">
        <f t="shared" si="17"/>
        <v>2.4657534246575342E-2</v>
      </c>
      <c r="K284" s="7">
        <v>1</v>
      </c>
      <c r="L284" s="8">
        <f t="shared" si="18"/>
        <v>5.858991780821917E-2</v>
      </c>
      <c r="M284" s="8">
        <f t="shared" si="19"/>
        <v>2.3761466666666662</v>
      </c>
    </row>
    <row r="285" spans="1:13" ht="15" customHeight="1" x14ac:dyDescent="0.3">
      <c r="A285" s="6" t="s">
        <v>520</v>
      </c>
      <c r="B285" s="6" t="s">
        <v>508</v>
      </c>
      <c r="C285" s="6" t="s">
        <v>509</v>
      </c>
      <c r="D285" s="6" t="s">
        <v>549</v>
      </c>
      <c r="E285" s="8">
        <v>2.2000000000000002</v>
      </c>
      <c r="F285" s="9">
        <f t="shared" si="16"/>
        <v>13.83756</v>
      </c>
      <c r="G285" s="8">
        <v>318.10000000000002</v>
      </c>
      <c r="H285" s="8">
        <v>82.5</v>
      </c>
      <c r="I285" s="9">
        <v>161</v>
      </c>
      <c r="J285" s="23">
        <f t="shared" si="17"/>
        <v>1.8378995433789954E-2</v>
      </c>
      <c r="K285" s="7">
        <v>2</v>
      </c>
      <c r="L285" s="8">
        <f t="shared" si="18"/>
        <v>3.7911123287671232E-2</v>
      </c>
      <c r="M285" s="8">
        <f t="shared" si="19"/>
        <v>2.0627418633540375</v>
      </c>
    </row>
    <row r="286" spans="1:13" ht="15" customHeight="1" x14ac:dyDescent="0.3">
      <c r="A286" s="6" t="s">
        <v>521</v>
      </c>
      <c r="B286" s="6" t="s">
        <v>65</v>
      </c>
      <c r="C286" s="6" t="s">
        <v>39</v>
      </c>
      <c r="D286" s="6" t="s">
        <v>549</v>
      </c>
      <c r="E286" s="8">
        <v>1.7</v>
      </c>
      <c r="F286" s="9">
        <f t="shared" si="16"/>
        <v>10.692659999999998</v>
      </c>
      <c r="G286" s="8">
        <v>0</v>
      </c>
      <c r="H286" s="8">
        <v>0.2</v>
      </c>
      <c r="I286" s="9">
        <v>240</v>
      </c>
      <c r="J286" s="23">
        <f t="shared" si="17"/>
        <v>2.7397260273972601E-2</v>
      </c>
      <c r="K286" s="7">
        <v>1</v>
      </c>
      <c r="L286" s="8">
        <f t="shared" si="18"/>
        <v>2.9294958904109585E-2</v>
      </c>
      <c r="M286" s="8">
        <f t="shared" si="19"/>
        <v>1.0692659999999998</v>
      </c>
    </row>
    <row r="287" spans="1:13" ht="15" customHeight="1" x14ac:dyDescent="0.3">
      <c r="A287" s="6" t="s">
        <v>522</v>
      </c>
      <c r="B287" s="6" t="s">
        <v>286</v>
      </c>
      <c r="C287" s="6" t="s">
        <v>287</v>
      </c>
      <c r="D287" s="6" t="s">
        <v>550</v>
      </c>
      <c r="E287" s="8">
        <v>1.2</v>
      </c>
      <c r="F287" s="9">
        <f t="shared" si="16"/>
        <v>7.5477599999999994</v>
      </c>
      <c r="G287" s="8">
        <v>0</v>
      </c>
      <c r="H287" s="8">
        <v>0</v>
      </c>
      <c r="I287" s="9">
        <v>24</v>
      </c>
      <c r="J287" s="23">
        <f t="shared" si="17"/>
        <v>2.7397260273972603E-3</v>
      </c>
      <c r="K287" s="7">
        <v>1</v>
      </c>
      <c r="L287" s="8">
        <f t="shared" si="18"/>
        <v>2.0678794520547942E-2</v>
      </c>
      <c r="M287" s="8">
        <f t="shared" si="19"/>
        <v>7.5477599999999994</v>
      </c>
    </row>
    <row r="288" spans="1:13" ht="15" customHeight="1" x14ac:dyDescent="0.3">
      <c r="A288" s="6" t="s">
        <v>523</v>
      </c>
      <c r="B288" s="6" t="s">
        <v>524</v>
      </c>
      <c r="C288" s="6" t="s">
        <v>525</v>
      </c>
      <c r="D288" s="6" t="s">
        <v>552</v>
      </c>
      <c r="E288" s="8">
        <v>0.2</v>
      </c>
      <c r="F288" s="9">
        <f t="shared" si="16"/>
        <v>1.25796</v>
      </c>
      <c r="G288" s="8">
        <v>2320.8000000000002</v>
      </c>
      <c r="H288" s="8">
        <v>0</v>
      </c>
      <c r="I288" s="9">
        <v>672</v>
      </c>
      <c r="J288" s="23">
        <f t="shared" si="17"/>
        <v>7.6712328767123292E-2</v>
      </c>
      <c r="K288" s="7">
        <v>1</v>
      </c>
      <c r="L288" s="8">
        <f t="shared" si="18"/>
        <v>3.4464657534246574E-3</v>
      </c>
      <c r="M288" s="8">
        <f t="shared" si="19"/>
        <v>4.4927142857142853E-2</v>
      </c>
    </row>
    <row r="289" spans="1:13" ht="15" customHeight="1" x14ac:dyDescent="0.3">
      <c r="A289" s="6" t="s">
        <v>526</v>
      </c>
      <c r="B289" s="6" t="s">
        <v>508</v>
      </c>
      <c r="C289" s="6" t="s">
        <v>509</v>
      </c>
      <c r="D289" s="6" t="s">
        <v>549</v>
      </c>
      <c r="E289" s="8">
        <v>0.1</v>
      </c>
      <c r="F289" s="9">
        <f t="shared" si="16"/>
        <v>0.62897999999999998</v>
      </c>
      <c r="G289" s="8">
        <v>402.5</v>
      </c>
      <c r="H289" s="8">
        <v>168.7</v>
      </c>
      <c r="I289" s="9">
        <v>93</v>
      </c>
      <c r="J289" s="23">
        <f t="shared" si="17"/>
        <v>1.0616438356164383E-2</v>
      </c>
      <c r="K289" s="7">
        <v>1</v>
      </c>
      <c r="L289" s="8">
        <f t="shared" si="18"/>
        <v>1.7232328767123287E-3</v>
      </c>
      <c r="M289" s="8">
        <f t="shared" si="19"/>
        <v>0.1623174193548387</v>
      </c>
    </row>
    <row r="290" spans="1:13" ht="15" customHeight="1" x14ac:dyDescent="0.3">
      <c r="A290" s="24" t="s">
        <v>553</v>
      </c>
      <c r="E290" s="25">
        <f>SUM(E5:E289)</f>
        <v>703831.49999999977</v>
      </c>
      <c r="F290" s="26">
        <f>SUM(F5:F289)</f>
        <v>4426959.3687000042</v>
      </c>
      <c r="G290" s="25">
        <f>SUM(G5:G289)</f>
        <v>691076</v>
      </c>
      <c r="H290" s="25">
        <f>SUM(H5:H289)</f>
        <v>162288.19999999995</v>
      </c>
      <c r="I290" s="25">
        <f>SUM(I5:I289)</f>
        <v>2052174</v>
      </c>
    </row>
  </sheetData>
  <autoFilter ref="A4:M289" xr:uid="{00000000-0009-0000-0000-000002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5" customHeight="1" x14ac:dyDescent="0.3"/>
  <cols>
    <col min="1" max="1" width="28" customWidth="1"/>
    <col min="2" max="2" width="34" customWidth="1"/>
    <col min="3" max="14" width="11" customWidth="1"/>
    <col min="15" max="15" width="13" customWidth="1"/>
  </cols>
  <sheetData>
    <row r="1" spans="1:15" ht="17.25" customHeight="1" x14ac:dyDescent="0.3">
      <c r="A1" s="3" t="s">
        <v>554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5" ht="15" customHeight="1" x14ac:dyDescent="0.3">
      <c r="A3" s="27" t="s">
        <v>4</v>
      </c>
      <c r="B3" s="27" t="s">
        <v>529</v>
      </c>
      <c r="C3" s="27" t="s">
        <v>532</v>
      </c>
      <c r="D3" s="27" t="s">
        <v>377</v>
      </c>
      <c r="E3" s="27" t="s">
        <v>364</v>
      </c>
      <c r="F3" s="27" t="s">
        <v>399</v>
      </c>
      <c r="G3" s="27" t="s">
        <v>416</v>
      </c>
      <c r="H3" s="27" t="s">
        <v>413</v>
      </c>
      <c r="I3" s="27" t="s">
        <v>388</v>
      </c>
      <c r="J3" s="27" t="s">
        <v>394</v>
      </c>
      <c r="K3" s="27" t="s">
        <v>425</v>
      </c>
      <c r="L3" s="27" t="s">
        <v>411</v>
      </c>
      <c r="M3" s="27" t="s">
        <v>470</v>
      </c>
      <c r="N3" s="27" t="s">
        <v>480</v>
      </c>
      <c r="O3" s="27" t="s">
        <v>555</v>
      </c>
    </row>
    <row r="4" spans="1:15" ht="15" customHeight="1" x14ac:dyDescent="0.3">
      <c r="A4" s="6" t="s">
        <v>385</v>
      </c>
      <c r="B4" s="6" t="s">
        <v>386</v>
      </c>
      <c r="C4" s="8"/>
      <c r="D4" s="8"/>
      <c r="E4" s="8"/>
      <c r="F4" s="8"/>
      <c r="G4" s="8">
        <v>1981.1</v>
      </c>
      <c r="H4" s="8">
        <v>2350.6999999999998</v>
      </c>
      <c r="I4" s="8">
        <v>232.9</v>
      </c>
      <c r="J4" s="8">
        <v>1930.5</v>
      </c>
      <c r="K4" s="8">
        <v>1584.5</v>
      </c>
      <c r="L4" s="8">
        <v>1481.9</v>
      </c>
      <c r="M4" s="8">
        <v>1500.1</v>
      </c>
      <c r="N4" s="8">
        <v>1340.8</v>
      </c>
      <c r="O4" s="28">
        <f t="shared" ref="O4:O67" si="0">SUM(C4:N4)</f>
        <v>12402.499999999998</v>
      </c>
    </row>
    <row r="5" spans="1:15" ht="15" customHeight="1" x14ac:dyDescent="0.3">
      <c r="A5" s="6" t="s">
        <v>15</v>
      </c>
      <c r="B5" s="6" t="s">
        <v>16</v>
      </c>
      <c r="C5" s="8">
        <v>1046.2</v>
      </c>
      <c r="D5" s="8">
        <v>1235.7</v>
      </c>
      <c r="E5" s="8">
        <v>1297.5</v>
      </c>
      <c r="F5" s="8">
        <v>1004.6</v>
      </c>
      <c r="G5" s="8">
        <v>1012.3</v>
      </c>
      <c r="H5" s="8">
        <v>1080.8</v>
      </c>
      <c r="I5" s="8">
        <v>1140</v>
      </c>
      <c r="J5" s="8">
        <v>1055.9000000000001</v>
      </c>
      <c r="K5" s="8">
        <v>968.2</v>
      </c>
      <c r="L5" s="8">
        <v>912.6</v>
      </c>
      <c r="M5" s="8">
        <v>558.1</v>
      </c>
      <c r="N5" s="8">
        <v>676.9</v>
      </c>
      <c r="O5" s="28">
        <f t="shared" si="0"/>
        <v>11988.800000000001</v>
      </c>
    </row>
    <row r="6" spans="1:15" ht="15" customHeight="1" x14ac:dyDescent="0.3">
      <c r="A6" s="6" t="s">
        <v>428</v>
      </c>
      <c r="B6" s="6" t="s">
        <v>23</v>
      </c>
      <c r="C6" s="8"/>
      <c r="D6" s="8"/>
      <c r="E6" s="8"/>
      <c r="F6" s="8">
        <v>711.7</v>
      </c>
      <c r="G6" s="8">
        <v>2014.9</v>
      </c>
      <c r="H6" s="8">
        <v>1503.5</v>
      </c>
      <c r="I6" s="8">
        <v>1385</v>
      </c>
      <c r="J6" s="8">
        <v>1387.1</v>
      </c>
      <c r="K6" s="8">
        <v>1617.4</v>
      </c>
      <c r="L6" s="8">
        <v>1172.3</v>
      </c>
      <c r="M6" s="8">
        <v>1102.5</v>
      </c>
      <c r="N6" s="8">
        <v>1042.5999999999999</v>
      </c>
      <c r="O6" s="28">
        <f t="shared" si="0"/>
        <v>11937</v>
      </c>
    </row>
    <row r="7" spans="1:15" ht="15" customHeight="1" x14ac:dyDescent="0.3">
      <c r="A7" s="6" t="s">
        <v>430</v>
      </c>
      <c r="B7" s="6" t="s">
        <v>397</v>
      </c>
      <c r="C7" s="8"/>
      <c r="D7" s="8"/>
      <c r="E7" s="8"/>
      <c r="F7" s="8"/>
      <c r="G7" s="8">
        <v>1783</v>
      </c>
      <c r="H7" s="8">
        <v>1809.6</v>
      </c>
      <c r="I7" s="8">
        <v>1472.5</v>
      </c>
      <c r="J7" s="8">
        <v>1476.6</v>
      </c>
      <c r="K7" s="8">
        <v>1247.0999999999999</v>
      </c>
      <c r="L7" s="8">
        <v>1189.2</v>
      </c>
      <c r="M7" s="8">
        <v>1057.0999999999999</v>
      </c>
      <c r="N7" s="8">
        <v>1335.2</v>
      </c>
      <c r="O7" s="28">
        <f t="shared" si="0"/>
        <v>11370.300000000003</v>
      </c>
    </row>
    <row r="8" spans="1:15" ht="15" customHeight="1" x14ac:dyDescent="0.3">
      <c r="A8" s="6" t="s">
        <v>19</v>
      </c>
      <c r="B8" s="6" t="s">
        <v>20</v>
      </c>
      <c r="C8" s="8">
        <v>1308.5999999999999</v>
      </c>
      <c r="D8" s="8">
        <v>1111.4000000000001</v>
      </c>
      <c r="E8" s="8">
        <v>1042.7</v>
      </c>
      <c r="F8" s="8">
        <v>929.3</v>
      </c>
      <c r="G8" s="8">
        <v>900.1</v>
      </c>
      <c r="H8" s="8">
        <v>801.6</v>
      </c>
      <c r="I8" s="8">
        <v>836.7</v>
      </c>
      <c r="J8" s="8">
        <v>813.8</v>
      </c>
      <c r="K8" s="8">
        <v>731.3</v>
      </c>
      <c r="L8" s="8">
        <v>704.1</v>
      </c>
      <c r="M8" s="8">
        <v>623.20000000000005</v>
      </c>
      <c r="N8" s="8">
        <v>584.70000000000005</v>
      </c>
      <c r="O8" s="28">
        <f t="shared" si="0"/>
        <v>10387.500000000002</v>
      </c>
    </row>
    <row r="9" spans="1:15" ht="15" customHeight="1" x14ac:dyDescent="0.3">
      <c r="A9" s="6" t="s">
        <v>22</v>
      </c>
      <c r="B9" s="6" t="s">
        <v>23</v>
      </c>
      <c r="C9" s="8">
        <v>921.3</v>
      </c>
      <c r="D9" s="8">
        <v>987.4</v>
      </c>
      <c r="E9" s="8">
        <v>1083.2</v>
      </c>
      <c r="F9" s="8">
        <v>934.2</v>
      </c>
      <c r="G9" s="8">
        <v>1178.5</v>
      </c>
      <c r="H9" s="8">
        <v>745.5</v>
      </c>
      <c r="I9" s="8">
        <v>761.5</v>
      </c>
      <c r="J9" s="8">
        <v>829.5</v>
      </c>
      <c r="K9" s="8">
        <v>770.6</v>
      </c>
      <c r="L9" s="8">
        <v>752.4</v>
      </c>
      <c r="M9" s="8">
        <v>603</v>
      </c>
      <c r="N9" s="8">
        <v>780.2</v>
      </c>
      <c r="O9" s="28">
        <f t="shared" si="0"/>
        <v>10347.299999999999</v>
      </c>
    </row>
    <row r="10" spans="1:15" ht="15" customHeight="1" x14ac:dyDescent="0.3">
      <c r="A10" s="6" t="s">
        <v>25</v>
      </c>
      <c r="B10" s="6" t="s">
        <v>26</v>
      </c>
      <c r="C10" s="8">
        <v>1443.1</v>
      </c>
      <c r="D10" s="8">
        <v>988.2</v>
      </c>
      <c r="E10" s="8">
        <v>1390.3</v>
      </c>
      <c r="F10" s="8">
        <v>1156.5</v>
      </c>
      <c r="G10" s="8">
        <v>906.5</v>
      </c>
      <c r="H10" s="8">
        <v>576.20000000000005</v>
      </c>
      <c r="I10" s="8">
        <v>457.5</v>
      </c>
      <c r="J10" s="8">
        <v>519.1</v>
      </c>
      <c r="K10" s="8">
        <v>669.4</v>
      </c>
      <c r="L10" s="8">
        <v>622</v>
      </c>
      <c r="M10" s="8">
        <v>590.29999999999995</v>
      </c>
      <c r="N10" s="8">
        <v>560.79999999999995</v>
      </c>
      <c r="O10" s="28">
        <f t="shared" si="0"/>
        <v>9879.8999999999978</v>
      </c>
    </row>
    <row r="11" spans="1:15" ht="15" customHeight="1" x14ac:dyDescent="0.3">
      <c r="A11" s="6" t="s">
        <v>432</v>
      </c>
      <c r="B11" s="6" t="s">
        <v>362</v>
      </c>
      <c r="C11" s="8"/>
      <c r="D11" s="8"/>
      <c r="E11" s="8"/>
      <c r="F11" s="8">
        <v>651.29999999999995</v>
      </c>
      <c r="G11" s="8">
        <v>1917.5</v>
      </c>
      <c r="H11" s="8">
        <v>1642.6</v>
      </c>
      <c r="I11" s="8">
        <v>1483.7</v>
      </c>
      <c r="J11" s="8">
        <v>1130.3</v>
      </c>
      <c r="K11" s="8">
        <v>866.7</v>
      </c>
      <c r="L11" s="8">
        <v>806.5</v>
      </c>
      <c r="M11" s="8">
        <v>646.9</v>
      </c>
      <c r="N11" s="8">
        <v>632.20000000000005</v>
      </c>
      <c r="O11" s="28">
        <f t="shared" si="0"/>
        <v>9777.6999999999989</v>
      </c>
    </row>
    <row r="12" spans="1:15" ht="15" customHeight="1" x14ac:dyDescent="0.3">
      <c r="A12" s="6" t="s">
        <v>28</v>
      </c>
      <c r="B12" s="6" t="s">
        <v>29</v>
      </c>
      <c r="C12" s="8">
        <v>1237.9000000000001</v>
      </c>
      <c r="D12" s="8">
        <v>920.8</v>
      </c>
      <c r="E12" s="8">
        <v>974.5</v>
      </c>
      <c r="F12" s="8">
        <v>891.7</v>
      </c>
      <c r="G12" s="8">
        <v>871.8</v>
      </c>
      <c r="H12" s="8">
        <v>930.4</v>
      </c>
      <c r="I12" s="8">
        <v>770.5</v>
      </c>
      <c r="J12" s="8">
        <v>719.1</v>
      </c>
      <c r="K12" s="8">
        <v>616</v>
      </c>
      <c r="L12" s="8">
        <v>641.5</v>
      </c>
      <c r="M12" s="8">
        <v>572.20000000000005</v>
      </c>
      <c r="N12" s="8">
        <v>539.20000000000005</v>
      </c>
      <c r="O12" s="28">
        <f t="shared" si="0"/>
        <v>9685.6000000000022</v>
      </c>
    </row>
    <row r="13" spans="1:15" ht="15" customHeight="1" x14ac:dyDescent="0.3">
      <c r="A13" s="6" t="s">
        <v>433</v>
      </c>
      <c r="B13" s="6" t="s">
        <v>23</v>
      </c>
      <c r="C13" s="8"/>
      <c r="D13" s="8"/>
      <c r="E13" s="8"/>
      <c r="F13" s="8">
        <v>873.5</v>
      </c>
      <c r="G13" s="8">
        <v>1397.3</v>
      </c>
      <c r="H13" s="8">
        <v>1443.3</v>
      </c>
      <c r="I13" s="8">
        <v>1186.7</v>
      </c>
      <c r="J13" s="8">
        <v>831.9</v>
      </c>
      <c r="K13" s="8">
        <v>734.2</v>
      </c>
      <c r="L13" s="8">
        <v>830.7</v>
      </c>
      <c r="M13" s="8">
        <v>833.4</v>
      </c>
      <c r="N13" s="8">
        <v>810.5</v>
      </c>
      <c r="O13" s="28">
        <f t="shared" si="0"/>
        <v>8941.5</v>
      </c>
    </row>
    <row r="14" spans="1:15" ht="15" customHeight="1" x14ac:dyDescent="0.3">
      <c r="A14" s="6" t="s">
        <v>31</v>
      </c>
      <c r="B14" s="6" t="s">
        <v>20</v>
      </c>
      <c r="C14" s="8">
        <v>1288.3</v>
      </c>
      <c r="D14" s="8">
        <v>972.8</v>
      </c>
      <c r="E14" s="8">
        <v>994.1</v>
      </c>
      <c r="F14" s="8">
        <v>888</v>
      </c>
      <c r="G14" s="8">
        <v>746.2</v>
      </c>
      <c r="H14" s="8">
        <v>746.5</v>
      </c>
      <c r="I14" s="8">
        <v>689.9</v>
      </c>
      <c r="J14" s="8">
        <v>595.4</v>
      </c>
      <c r="K14" s="8">
        <v>514</v>
      </c>
      <c r="L14" s="8">
        <v>487.5</v>
      </c>
      <c r="M14" s="8">
        <v>448.8</v>
      </c>
      <c r="N14" s="8">
        <v>443.1</v>
      </c>
      <c r="O14" s="28">
        <f t="shared" si="0"/>
        <v>8814.5999999999985</v>
      </c>
    </row>
    <row r="15" spans="1:15" ht="15" customHeight="1" x14ac:dyDescent="0.3">
      <c r="A15" s="6" t="s">
        <v>434</v>
      </c>
      <c r="B15" s="6" t="s">
        <v>386</v>
      </c>
      <c r="C15" s="8"/>
      <c r="D15" s="8"/>
      <c r="E15" s="8"/>
      <c r="F15" s="8"/>
      <c r="G15" s="8"/>
      <c r="H15" s="8"/>
      <c r="I15" s="8"/>
      <c r="J15" s="8">
        <v>2274.8000000000002</v>
      </c>
      <c r="K15" s="8">
        <v>2145</v>
      </c>
      <c r="L15" s="8">
        <v>1624.4</v>
      </c>
      <c r="M15" s="8">
        <v>1341.9</v>
      </c>
      <c r="N15" s="8">
        <v>1094.0999999999999</v>
      </c>
      <c r="O15" s="28">
        <f t="shared" si="0"/>
        <v>8480.2000000000007</v>
      </c>
    </row>
    <row r="16" spans="1:15" ht="15" customHeight="1" x14ac:dyDescent="0.3">
      <c r="A16" s="6" t="s">
        <v>361</v>
      </c>
      <c r="B16" s="6" t="s">
        <v>362</v>
      </c>
      <c r="C16" s="8"/>
      <c r="D16" s="8"/>
      <c r="E16" s="8">
        <v>522.9</v>
      </c>
      <c r="F16" s="8">
        <v>1383.5</v>
      </c>
      <c r="G16" s="8">
        <v>1293.5</v>
      </c>
      <c r="H16" s="8">
        <v>873.3</v>
      </c>
      <c r="I16" s="8">
        <v>984</v>
      </c>
      <c r="J16" s="8">
        <v>862.6</v>
      </c>
      <c r="K16" s="8">
        <v>667.4</v>
      </c>
      <c r="L16" s="8">
        <v>648.79999999999995</v>
      </c>
      <c r="M16" s="8">
        <v>562.70000000000005</v>
      </c>
      <c r="N16" s="8">
        <v>526.79999999999995</v>
      </c>
      <c r="O16" s="28">
        <f t="shared" si="0"/>
        <v>8325.5</v>
      </c>
    </row>
    <row r="17" spans="1:15" ht="15" customHeight="1" x14ac:dyDescent="0.3">
      <c r="A17" s="6" t="s">
        <v>32</v>
      </c>
      <c r="B17" s="6" t="s">
        <v>33</v>
      </c>
      <c r="C17" s="8">
        <v>961.1</v>
      </c>
      <c r="D17" s="8">
        <v>840.6</v>
      </c>
      <c r="E17" s="8">
        <v>652.5</v>
      </c>
      <c r="F17" s="8">
        <v>786.4</v>
      </c>
      <c r="G17" s="8">
        <v>772.4</v>
      </c>
      <c r="H17" s="8">
        <v>774</v>
      </c>
      <c r="I17" s="8">
        <v>698.9</v>
      </c>
      <c r="J17" s="8">
        <v>554.29999999999995</v>
      </c>
      <c r="K17" s="8">
        <v>582.6</v>
      </c>
      <c r="L17" s="8">
        <v>573.70000000000005</v>
      </c>
      <c r="M17" s="8">
        <v>547.4</v>
      </c>
      <c r="N17" s="8">
        <v>566.6</v>
      </c>
      <c r="O17" s="28">
        <f t="shared" si="0"/>
        <v>8310.5</v>
      </c>
    </row>
    <row r="18" spans="1:15" ht="15" customHeight="1" x14ac:dyDescent="0.3">
      <c r="A18" s="6" t="s">
        <v>35</v>
      </c>
      <c r="B18" s="6" t="s">
        <v>36</v>
      </c>
      <c r="C18" s="8">
        <v>973.3</v>
      </c>
      <c r="D18" s="8">
        <v>883.9</v>
      </c>
      <c r="E18" s="8">
        <v>948.5</v>
      </c>
      <c r="F18" s="8">
        <v>857.2</v>
      </c>
      <c r="G18" s="8">
        <v>792.6</v>
      </c>
      <c r="H18" s="8">
        <v>704.9</v>
      </c>
      <c r="I18" s="8">
        <v>670.9</v>
      </c>
      <c r="J18" s="8">
        <v>621.20000000000005</v>
      </c>
      <c r="K18" s="8">
        <v>555.4</v>
      </c>
      <c r="L18" s="8">
        <v>532.70000000000005</v>
      </c>
      <c r="M18" s="8">
        <v>260.3</v>
      </c>
      <c r="N18" s="8">
        <v>295.8</v>
      </c>
      <c r="O18" s="28">
        <f t="shared" si="0"/>
        <v>8096.6999999999989</v>
      </c>
    </row>
    <row r="19" spans="1:15" ht="15" customHeight="1" x14ac:dyDescent="0.3">
      <c r="A19" s="6" t="s">
        <v>366</v>
      </c>
      <c r="B19" s="6" t="s">
        <v>367</v>
      </c>
      <c r="C19" s="8"/>
      <c r="D19" s="8"/>
      <c r="E19" s="8">
        <v>104</v>
      </c>
      <c r="F19" s="8">
        <v>1222.5999999999999</v>
      </c>
      <c r="G19" s="8">
        <v>870</v>
      </c>
      <c r="H19" s="8">
        <v>646</v>
      </c>
      <c r="I19" s="8">
        <v>781.6</v>
      </c>
      <c r="J19" s="8">
        <v>1279.3</v>
      </c>
      <c r="K19" s="8">
        <v>949.8</v>
      </c>
      <c r="L19" s="8">
        <v>690.2</v>
      </c>
      <c r="M19" s="8">
        <v>713.4</v>
      </c>
      <c r="N19" s="8">
        <v>808.1</v>
      </c>
      <c r="O19" s="28">
        <f t="shared" si="0"/>
        <v>8065</v>
      </c>
    </row>
    <row r="20" spans="1:15" ht="15" customHeight="1" x14ac:dyDescent="0.3">
      <c r="A20" s="6" t="s">
        <v>37</v>
      </c>
      <c r="B20" s="6" t="s">
        <v>38</v>
      </c>
      <c r="C20" s="8">
        <v>757.1</v>
      </c>
      <c r="D20" s="8">
        <v>648.20000000000005</v>
      </c>
      <c r="E20" s="8">
        <v>706.3</v>
      </c>
      <c r="F20" s="8">
        <v>619.70000000000005</v>
      </c>
      <c r="G20" s="8">
        <v>623.29999999999995</v>
      </c>
      <c r="H20" s="8">
        <v>627.20000000000005</v>
      </c>
      <c r="I20" s="8">
        <v>680.5</v>
      </c>
      <c r="J20" s="8">
        <v>663.7</v>
      </c>
      <c r="K20" s="8">
        <v>625.1</v>
      </c>
      <c r="L20" s="8">
        <v>657.5</v>
      </c>
      <c r="M20" s="8">
        <v>625</v>
      </c>
      <c r="N20" s="8">
        <v>622.29999999999995</v>
      </c>
      <c r="O20" s="28">
        <f t="shared" si="0"/>
        <v>7855.9000000000005</v>
      </c>
    </row>
    <row r="21" spans="1:15" ht="15" customHeight="1" x14ac:dyDescent="0.3">
      <c r="A21" s="6" t="s">
        <v>436</v>
      </c>
      <c r="B21" s="6" t="s">
        <v>437</v>
      </c>
      <c r="C21" s="8"/>
      <c r="D21" s="8"/>
      <c r="E21" s="8"/>
      <c r="F21" s="8"/>
      <c r="G21" s="8">
        <v>1588.1</v>
      </c>
      <c r="H21" s="8">
        <v>1044.8</v>
      </c>
      <c r="I21" s="8">
        <v>1042.3</v>
      </c>
      <c r="J21" s="8">
        <v>1133.8</v>
      </c>
      <c r="K21" s="8">
        <v>850</v>
      </c>
      <c r="L21" s="8">
        <v>772</v>
      </c>
      <c r="M21" s="8">
        <v>706.2</v>
      </c>
      <c r="N21" s="8">
        <v>667.8</v>
      </c>
      <c r="O21" s="28">
        <f t="shared" si="0"/>
        <v>7805</v>
      </c>
    </row>
    <row r="22" spans="1:15" ht="15" customHeight="1" x14ac:dyDescent="0.3">
      <c r="A22" s="6" t="s">
        <v>439</v>
      </c>
      <c r="B22" s="6" t="s">
        <v>437</v>
      </c>
      <c r="C22" s="8"/>
      <c r="D22" s="8"/>
      <c r="E22" s="8"/>
      <c r="F22" s="8"/>
      <c r="G22" s="8">
        <v>1650.9</v>
      </c>
      <c r="H22" s="8">
        <v>1311.1</v>
      </c>
      <c r="I22" s="8">
        <v>1092.0999999999999</v>
      </c>
      <c r="J22" s="8">
        <v>921</v>
      </c>
      <c r="K22" s="8">
        <v>707.9</v>
      </c>
      <c r="L22" s="8">
        <v>750.9</v>
      </c>
      <c r="M22" s="8">
        <v>680.6</v>
      </c>
      <c r="N22" s="8">
        <v>609.79999999999995</v>
      </c>
      <c r="O22" s="28">
        <f t="shared" si="0"/>
        <v>7724.3</v>
      </c>
    </row>
    <row r="23" spans="1:15" ht="15" customHeight="1" x14ac:dyDescent="0.3">
      <c r="A23" s="6" t="s">
        <v>40</v>
      </c>
      <c r="B23" s="6" t="s">
        <v>16</v>
      </c>
      <c r="C23" s="8">
        <v>1156.3</v>
      </c>
      <c r="D23" s="8">
        <v>1010.5</v>
      </c>
      <c r="E23" s="8">
        <v>983.3</v>
      </c>
      <c r="F23" s="8">
        <v>746.6</v>
      </c>
      <c r="G23" s="8">
        <v>749.1</v>
      </c>
      <c r="H23" s="8">
        <v>622.9</v>
      </c>
      <c r="I23" s="8">
        <v>321.89999999999998</v>
      </c>
      <c r="J23" s="8">
        <v>422.8</v>
      </c>
      <c r="K23" s="8">
        <v>453.1</v>
      </c>
      <c r="L23" s="8">
        <v>462</v>
      </c>
      <c r="M23" s="8">
        <v>405.7</v>
      </c>
      <c r="N23" s="8">
        <v>317.39999999999998</v>
      </c>
      <c r="O23" s="28">
        <f t="shared" si="0"/>
        <v>7651.5999999999995</v>
      </c>
    </row>
    <row r="24" spans="1:15" ht="15" customHeight="1" x14ac:dyDescent="0.3">
      <c r="A24" s="6" t="s">
        <v>41</v>
      </c>
      <c r="B24" s="6" t="s">
        <v>16</v>
      </c>
      <c r="C24" s="8">
        <v>1129.4000000000001</v>
      </c>
      <c r="D24" s="8">
        <v>918.4</v>
      </c>
      <c r="E24" s="8">
        <v>1026.2</v>
      </c>
      <c r="F24" s="8">
        <v>805.3</v>
      </c>
      <c r="G24" s="8">
        <v>582.1</v>
      </c>
      <c r="H24" s="8">
        <v>436.2</v>
      </c>
      <c r="I24" s="8">
        <v>446</v>
      </c>
      <c r="J24" s="8">
        <v>432.1</v>
      </c>
      <c r="K24" s="8">
        <v>363.1</v>
      </c>
      <c r="L24" s="8">
        <v>380.1</v>
      </c>
      <c r="M24" s="8">
        <v>431.5</v>
      </c>
      <c r="N24" s="8">
        <v>323.89999999999998</v>
      </c>
      <c r="O24" s="28">
        <f t="shared" si="0"/>
        <v>7274.3000000000011</v>
      </c>
    </row>
    <row r="25" spans="1:15" ht="15" customHeight="1" x14ac:dyDescent="0.3">
      <c r="A25" s="6" t="s">
        <v>42</v>
      </c>
      <c r="B25" s="6" t="s">
        <v>20</v>
      </c>
      <c r="C25" s="8">
        <v>1026.5</v>
      </c>
      <c r="D25" s="8">
        <v>781</v>
      </c>
      <c r="E25" s="8">
        <v>824.3</v>
      </c>
      <c r="F25" s="8">
        <v>698</v>
      </c>
      <c r="G25" s="8">
        <v>556.20000000000005</v>
      </c>
      <c r="H25" s="8">
        <v>524</v>
      </c>
      <c r="I25" s="8">
        <v>503.9</v>
      </c>
      <c r="J25" s="8">
        <v>502.8</v>
      </c>
      <c r="K25" s="8">
        <v>453.1</v>
      </c>
      <c r="L25" s="8">
        <v>445.7</v>
      </c>
      <c r="M25" s="8">
        <v>448.9</v>
      </c>
      <c r="N25" s="8">
        <v>435.6</v>
      </c>
      <c r="O25" s="28">
        <f t="shared" si="0"/>
        <v>7200</v>
      </c>
    </row>
    <row r="26" spans="1:15" ht="15" customHeight="1" x14ac:dyDescent="0.3">
      <c r="A26" s="6" t="s">
        <v>43</v>
      </c>
      <c r="B26" s="6" t="s">
        <v>44</v>
      </c>
      <c r="C26" s="8">
        <v>870.1</v>
      </c>
      <c r="D26" s="8">
        <v>740</v>
      </c>
      <c r="E26" s="8">
        <v>764.5</v>
      </c>
      <c r="F26" s="8">
        <v>717</v>
      </c>
      <c r="G26" s="8">
        <v>727.8</v>
      </c>
      <c r="H26" s="8">
        <v>679.7</v>
      </c>
      <c r="I26" s="8">
        <v>671</v>
      </c>
      <c r="J26" s="8">
        <v>493.8</v>
      </c>
      <c r="K26" s="8">
        <v>295.5</v>
      </c>
      <c r="L26" s="8">
        <v>212.3</v>
      </c>
      <c r="M26" s="8">
        <v>435.2</v>
      </c>
      <c r="N26" s="8">
        <v>408.9</v>
      </c>
      <c r="O26" s="28">
        <f t="shared" si="0"/>
        <v>7015.7999999999993</v>
      </c>
    </row>
    <row r="27" spans="1:15" ht="15" customHeight="1" x14ac:dyDescent="0.3">
      <c r="A27" s="6" t="s">
        <v>46</v>
      </c>
      <c r="B27" s="6" t="s">
        <v>47</v>
      </c>
      <c r="C27" s="8">
        <v>572.6</v>
      </c>
      <c r="D27" s="8">
        <v>679</v>
      </c>
      <c r="E27" s="8">
        <v>597.9</v>
      </c>
      <c r="F27" s="8">
        <v>461.9</v>
      </c>
      <c r="G27" s="8">
        <v>594.70000000000005</v>
      </c>
      <c r="H27" s="8">
        <v>522.20000000000005</v>
      </c>
      <c r="I27" s="8">
        <v>621.20000000000005</v>
      </c>
      <c r="J27" s="8">
        <v>557</v>
      </c>
      <c r="K27" s="8">
        <v>551.9</v>
      </c>
      <c r="L27" s="8">
        <v>581.9</v>
      </c>
      <c r="M27" s="8">
        <v>635.4</v>
      </c>
      <c r="N27" s="8">
        <v>600.5</v>
      </c>
      <c r="O27" s="28">
        <f t="shared" si="0"/>
        <v>6976.1999999999989</v>
      </c>
    </row>
    <row r="28" spans="1:15" ht="15" customHeight="1" x14ac:dyDescent="0.3">
      <c r="A28" s="6" t="s">
        <v>440</v>
      </c>
      <c r="B28" s="6" t="s">
        <v>437</v>
      </c>
      <c r="C28" s="8"/>
      <c r="D28" s="8"/>
      <c r="E28" s="8"/>
      <c r="F28" s="8"/>
      <c r="G28" s="8"/>
      <c r="H28" s="8"/>
      <c r="I28" s="8"/>
      <c r="J28" s="8">
        <v>1591</v>
      </c>
      <c r="K28" s="8">
        <v>1579.4</v>
      </c>
      <c r="L28" s="8">
        <v>1347.2</v>
      </c>
      <c r="M28" s="8">
        <v>1106.0999999999999</v>
      </c>
      <c r="N28" s="8">
        <v>984.1</v>
      </c>
      <c r="O28" s="28">
        <f t="shared" si="0"/>
        <v>6607.8000000000011</v>
      </c>
    </row>
    <row r="29" spans="1:15" ht="15" customHeight="1" x14ac:dyDescent="0.3">
      <c r="A29" s="6" t="s">
        <v>49</v>
      </c>
      <c r="B29" s="6" t="s">
        <v>33</v>
      </c>
      <c r="C29" s="8">
        <v>555.6</v>
      </c>
      <c r="D29" s="8">
        <v>564.29999999999995</v>
      </c>
      <c r="E29" s="8">
        <v>555.6</v>
      </c>
      <c r="F29" s="8">
        <v>472.8</v>
      </c>
      <c r="G29" s="8">
        <v>503.3</v>
      </c>
      <c r="H29" s="8">
        <v>566.79999999999995</v>
      </c>
      <c r="I29" s="8">
        <v>573</v>
      </c>
      <c r="J29" s="8">
        <v>540.4</v>
      </c>
      <c r="K29" s="8">
        <v>496.7</v>
      </c>
      <c r="L29" s="8">
        <v>488</v>
      </c>
      <c r="M29" s="8">
        <v>499.3</v>
      </c>
      <c r="N29" s="8">
        <v>481.8</v>
      </c>
      <c r="O29" s="28">
        <f t="shared" si="0"/>
        <v>6297.6</v>
      </c>
    </row>
    <row r="30" spans="1:15" ht="15" customHeight="1" x14ac:dyDescent="0.3">
      <c r="A30" s="6" t="s">
        <v>50</v>
      </c>
      <c r="B30" s="6" t="s">
        <v>51</v>
      </c>
      <c r="C30" s="8">
        <v>586.1</v>
      </c>
      <c r="D30" s="8">
        <v>604.70000000000005</v>
      </c>
      <c r="E30" s="8">
        <v>639</v>
      </c>
      <c r="F30" s="8">
        <v>420.2</v>
      </c>
      <c r="G30" s="8">
        <v>584.29999999999995</v>
      </c>
      <c r="H30" s="8">
        <v>525.5</v>
      </c>
      <c r="I30" s="8">
        <v>552.6</v>
      </c>
      <c r="J30" s="8">
        <v>524.20000000000005</v>
      </c>
      <c r="K30" s="8">
        <v>489.2</v>
      </c>
      <c r="L30" s="8">
        <v>429</v>
      </c>
      <c r="M30" s="8">
        <v>433.2</v>
      </c>
      <c r="N30" s="8">
        <v>430.7</v>
      </c>
      <c r="O30" s="28">
        <f t="shared" si="0"/>
        <v>6218.7</v>
      </c>
    </row>
    <row r="31" spans="1:15" ht="15" customHeight="1" x14ac:dyDescent="0.3">
      <c r="A31" s="6" t="s">
        <v>53</v>
      </c>
      <c r="B31" s="6" t="s">
        <v>33</v>
      </c>
      <c r="C31" s="8">
        <v>506.6</v>
      </c>
      <c r="D31" s="8">
        <v>440.2</v>
      </c>
      <c r="E31" s="8">
        <v>520.5</v>
      </c>
      <c r="F31" s="8">
        <v>567.20000000000005</v>
      </c>
      <c r="G31" s="8">
        <v>598.1</v>
      </c>
      <c r="H31" s="8">
        <v>494.3</v>
      </c>
      <c r="I31" s="8">
        <v>404.9</v>
      </c>
      <c r="J31" s="8">
        <v>468.1</v>
      </c>
      <c r="K31" s="8">
        <v>524.79999999999995</v>
      </c>
      <c r="L31" s="8">
        <v>523.9</v>
      </c>
      <c r="M31" s="8">
        <v>476.3</v>
      </c>
      <c r="N31" s="8">
        <v>481.1</v>
      </c>
      <c r="O31" s="28">
        <f t="shared" si="0"/>
        <v>6006</v>
      </c>
    </row>
    <row r="32" spans="1:15" ht="15" customHeight="1" x14ac:dyDescent="0.3">
      <c r="A32" s="6" t="s">
        <v>441</v>
      </c>
      <c r="B32" s="6" t="s">
        <v>437</v>
      </c>
      <c r="C32" s="8"/>
      <c r="D32" s="8"/>
      <c r="E32" s="8"/>
      <c r="F32" s="8"/>
      <c r="G32" s="8">
        <v>315.60000000000002</v>
      </c>
      <c r="H32" s="8">
        <v>1318.5</v>
      </c>
      <c r="I32" s="8">
        <v>1053.3</v>
      </c>
      <c r="J32" s="8">
        <v>936.8</v>
      </c>
      <c r="K32" s="8">
        <v>531.4</v>
      </c>
      <c r="L32" s="8">
        <v>572.4</v>
      </c>
      <c r="M32" s="8">
        <v>607.4</v>
      </c>
      <c r="N32" s="8">
        <v>561.6</v>
      </c>
      <c r="O32" s="28">
        <f t="shared" si="0"/>
        <v>5896.9999999999991</v>
      </c>
    </row>
    <row r="33" spans="1:15" ht="15" customHeight="1" x14ac:dyDescent="0.3">
      <c r="A33" s="6" t="s">
        <v>54</v>
      </c>
      <c r="B33" s="6" t="s">
        <v>55</v>
      </c>
      <c r="C33" s="8">
        <v>326.60000000000002</v>
      </c>
      <c r="D33" s="8">
        <v>459.5</v>
      </c>
      <c r="E33" s="8">
        <v>936.6</v>
      </c>
      <c r="F33" s="8">
        <v>854</v>
      </c>
      <c r="G33" s="8">
        <v>478.2</v>
      </c>
      <c r="H33" s="8">
        <v>371.1</v>
      </c>
      <c r="I33" s="8">
        <v>495</v>
      </c>
      <c r="J33" s="8">
        <v>592.5</v>
      </c>
      <c r="K33" s="8">
        <v>441.4</v>
      </c>
      <c r="L33" s="8">
        <v>305.10000000000002</v>
      </c>
      <c r="M33" s="8">
        <v>282.2</v>
      </c>
      <c r="N33" s="8">
        <v>310</v>
      </c>
      <c r="O33" s="28">
        <f t="shared" si="0"/>
        <v>5852.2</v>
      </c>
    </row>
    <row r="34" spans="1:15" ht="15" customHeight="1" x14ac:dyDescent="0.3">
      <c r="A34" s="6" t="s">
        <v>57</v>
      </c>
      <c r="B34" s="6" t="s">
        <v>36</v>
      </c>
      <c r="C34" s="8">
        <v>740.7</v>
      </c>
      <c r="D34" s="8">
        <v>613.9</v>
      </c>
      <c r="E34" s="8">
        <v>621.20000000000005</v>
      </c>
      <c r="F34" s="8">
        <v>560.9</v>
      </c>
      <c r="G34" s="8">
        <v>548.20000000000005</v>
      </c>
      <c r="H34" s="8">
        <v>533.1</v>
      </c>
      <c r="I34" s="8">
        <v>517.5</v>
      </c>
      <c r="J34" s="8">
        <v>487.5</v>
      </c>
      <c r="K34" s="8">
        <v>419.8</v>
      </c>
      <c r="L34" s="8">
        <v>402.6</v>
      </c>
      <c r="M34" s="8">
        <v>257</v>
      </c>
      <c r="N34" s="8">
        <v>144.19999999999999</v>
      </c>
      <c r="O34" s="28">
        <f t="shared" si="0"/>
        <v>5846.6</v>
      </c>
    </row>
    <row r="35" spans="1:15" ht="15" customHeight="1" x14ac:dyDescent="0.3">
      <c r="A35" s="6" t="s">
        <v>58</v>
      </c>
      <c r="B35" s="6" t="s">
        <v>59</v>
      </c>
      <c r="C35" s="8">
        <v>906</v>
      </c>
      <c r="D35" s="8">
        <v>703.7</v>
      </c>
      <c r="E35" s="8">
        <v>680.2</v>
      </c>
      <c r="F35" s="8">
        <v>565.79999999999995</v>
      </c>
      <c r="G35" s="8">
        <v>524</v>
      </c>
      <c r="H35" s="8">
        <v>449.3</v>
      </c>
      <c r="I35" s="8">
        <v>416</v>
      </c>
      <c r="J35" s="8">
        <v>395.2</v>
      </c>
      <c r="K35" s="8">
        <v>335.7</v>
      </c>
      <c r="L35" s="8">
        <v>330.3</v>
      </c>
      <c r="M35" s="8">
        <v>186.3</v>
      </c>
      <c r="N35" s="8">
        <v>211.9</v>
      </c>
      <c r="O35" s="28">
        <f t="shared" si="0"/>
        <v>5704.4</v>
      </c>
    </row>
    <row r="36" spans="1:15" ht="15" customHeight="1" x14ac:dyDescent="0.3">
      <c r="A36" s="6" t="s">
        <v>61</v>
      </c>
      <c r="B36" s="6" t="s">
        <v>62</v>
      </c>
      <c r="C36" s="8">
        <v>595.5</v>
      </c>
      <c r="D36" s="8">
        <v>560.5</v>
      </c>
      <c r="E36" s="8">
        <v>583.5</v>
      </c>
      <c r="F36" s="8">
        <v>569.5</v>
      </c>
      <c r="G36" s="8">
        <v>553.4</v>
      </c>
      <c r="H36" s="8">
        <v>512</v>
      </c>
      <c r="I36" s="8">
        <v>509.5</v>
      </c>
      <c r="J36" s="8">
        <v>473.2</v>
      </c>
      <c r="K36" s="8">
        <v>322.10000000000002</v>
      </c>
      <c r="L36" s="8">
        <v>260.2</v>
      </c>
      <c r="M36" s="8">
        <v>317</v>
      </c>
      <c r="N36" s="8">
        <v>340.9</v>
      </c>
      <c r="O36" s="28">
        <f t="shared" si="0"/>
        <v>5597.3</v>
      </c>
    </row>
    <row r="37" spans="1:15" ht="15" customHeight="1" x14ac:dyDescent="0.3">
      <c r="A37" s="6" t="s">
        <v>64</v>
      </c>
      <c r="B37" s="6" t="s">
        <v>65</v>
      </c>
      <c r="C37" s="8">
        <v>476.1</v>
      </c>
      <c r="D37" s="8">
        <v>477</v>
      </c>
      <c r="E37" s="8">
        <v>479.4</v>
      </c>
      <c r="F37" s="8">
        <v>469.9</v>
      </c>
      <c r="G37" s="8">
        <v>501.5</v>
      </c>
      <c r="H37" s="8">
        <v>525.9</v>
      </c>
      <c r="I37" s="8">
        <v>526.29999999999995</v>
      </c>
      <c r="J37" s="8">
        <v>502.7</v>
      </c>
      <c r="K37" s="8">
        <v>388.9</v>
      </c>
      <c r="L37" s="8">
        <v>452.9</v>
      </c>
      <c r="M37" s="8">
        <v>398</v>
      </c>
      <c r="N37" s="8">
        <v>380.3</v>
      </c>
      <c r="O37" s="28">
        <f t="shared" si="0"/>
        <v>5578.9</v>
      </c>
    </row>
    <row r="38" spans="1:15" ht="15" customHeight="1" x14ac:dyDescent="0.3">
      <c r="A38" s="6" t="s">
        <v>66</v>
      </c>
      <c r="B38" s="6" t="s">
        <v>62</v>
      </c>
      <c r="C38" s="8">
        <v>674.3</v>
      </c>
      <c r="D38" s="8">
        <v>532.29999999999995</v>
      </c>
      <c r="E38" s="8">
        <v>545.6</v>
      </c>
      <c r="F38" s="8">
        <v>567.9</v>
      </c>
      <c r="G38" s="8">
        <v>545.29999999999995</v>
      </c>
      <c r="H38" s="8">
        <v>503.4</v>
      </c>
      <c r="I38" s="8">
        <v>460.9</v>
      </c>
      <c r="J38" s="8">
        <v>471.6</v>
      </c>
      <c r="K38" s="8">
        <v>314</v>
      </c>
      <c r="L38" s="8">
        <v>259.39999999999998</v>
      </c>
      <c r="M38" s="8">
        <v>252.5</v>
      </c>
      <c r="N38" s="8">
        <v>364</v>
      </c>
      <c r="O38" s="28">
        <f t="shared" si="0"/>
        <v>5491.2</v>
      </c>
    </row>
    <row r="39" spans="1:15" ht="15" customHeight="1" x14ac:dyDescent="0.3">
      <c r="A39" s="6" t="s">
        <v>369</v>
      </c>
      <c r="B39" s="6" t="s">
        <v>362</v>
      </c>
      <c r="C39" s="8"/>
      <c r="D39" s="8"/>
      <c r="E39" s="8">
        <v>370.8</v>
      </c>
      <c r="F39" s="8">
        <v>1021</v>
      </c>
      <c r="G39" s="8">
        <v>577.9</v>
      </c>
      <c r="H39" s="8">
        <v>570</v>
      </c>
      <c r="I39" s="8">
        <v>590.6</v>
      </c>
      <c r="J39" s="8">
        <v>566.9</v>
      </c>
      <c r="K39" s="8">
        <v>486.5</v>
      </c>
      <c r="L39" s="8">
        <v>458.7</v>
      </c>
      <c r="M39" s="8">
        <v>413.1</v>
      </c>
      <c r="N39" s="8">
        <v>421.4</v>
      </c>
      <c r="O39" s="28">
        <f t="shared" si="0"/>
        <v>5476.9</v>
      </c>
    </row>
    <row r="40" spans="1:15" ht="15" customHeight="1" x14ac:dyDescent="0.3">
      <c r="A40" s="6" t="s">
        <v>442</v>
      </c>
      <c r="B40" s="6" t="s">
        <v>26</v>
      </c>
      <c r="C40" s="8"/>
      <c r="D40" s="8"/>
      <c r="E40" s="8"/>
      <c r="F40" s="8">
        <v>247.2</v>
      </c>
      <c r="G40" s="8">
        <v>1195.0999999999999</v>
      </c>
      <c r="H40" s="8">
        <v>683.6</v>
      </c>
      <c r="I40" s="8">
        <v>725.4</v>
      </c>
      <c r="J40" s="8">
        <v>1113.0999999999999</v>
      </c>
      <c r="K40" s="8">
        <v>434.1</v>
      </c>
      <c r="L40" s="8">
        <v>378.1</v>
      </c>
      <c r="M40" s="8">
        <v>305.3</v>
      </c>
      <c r="N40" s="8">
        <v>385.5</v>
      </c>
      <c r="O40" s="28">
        <f t="shared" si="0"/>
        <v>5467.4000000000005</v>
      </c>
    </row>
    <row r="41" spans="1:15" ht="15" customHeight="1" x14ac:dyDescent="0.3">
      <c r="A41" s="6" t="s">
        <v>443</v>
      </c>
      <c r="B41" s="6" t="s">
        <v>392</v>
      </c>
      <c r="C41" s="8"/>
      <c r="D41" s="8"/>
      <c r="E41" s="8"/>
      <c r="F41" s="8"/>
      <c r="G41" s="8"/>
      <c r="H41" s="8"/>
      <c r="I41" s="8"/>
      <c r="J41" s="8">
        <v>1344.2</v>
      </c>
      <c r="K41" s="8">
        <v>1259.9000000000001</v>
      </c>
      <c r="L41" s="8">
        <v>1016</v>
      </c>
      <c r="M41" s="8">
        <v>939.9</v>
      </c>
      <c r="N41" s="8">
        <v>819</v>
      </c>
      <c r="O41" s="28">
        <f t="shared" si="0"/>
        <v>5379</v>
      </c>
    </row>
    <row r="42" spans="1:15" ht="15" customHeight="1" x14ac:dyDescent="0.3">
      <c r="A42" s="6" t="s">
        <v>444</v>
      </c>
      <c r="B42" s="6" t="s">
        <v>386</v>
      </c>
      <c r="C42" s="8"/>
      <c r="D42" s="8"/>
      <c r="E42" s="8"/>
      <c r="F42" s="8"/>
      <c r="G42" s="8"/>
      <c r="H42" s="8"/>
      <c r="I42" s="8"/>
      <c r="J42" s="8">
        <v>1343.2</v>
      </c>
      <c r="K42" s="8">
        <v>1094.5999999999999</v>
      </c>
      <c r="L42" s="8">
        <v>1150.0999999999999</v>
      </c>
      <c r="M42" s="8">
        <v>622.6</v>
      </c>
      <c r="N42" s="8">
        <v>1007.2</v>
      </c>
      <c r="O42" s="28">
        <f t="shared" si="0"/>
        <v>5217.7</v>
      </c>
    </row>
    <row r="43" spans="1:15" ht="15" customHeight="1" x14ac:dyDescent="0.3">
      <c r="A43" s="6" t="s">
        <v>67</v>
      </c>
      <c r="B43" s="6" t="s">
        <v>68</v>
      </c>
      <c r="C43" s="8">
        <v>450.4</v>
      </c>
      <c r="D43" s="8">
        <v>468.8</v>
      </c>
      <c r="E43" s="8">
        <v>457.5</v>
      </c>
      <c r="F43" s="8">
        <v>441.6</v>
      </c>
      <c r="G43" s="8">
        <v>429.6</v>
      </c>
      <c r="H43" s="8">
        <v>428.1</v>
      </c>
      <c r="I43" s="8">
        <v>452.1</v>
      </c>
      <c r="J43" s="8">
        <v>436.5</v>
      </c>
      <c r="K43" s="8">
        <v>439.9</v>
      </c>
      <c r="L43" s="8">
        <v>439.9</v>
      </c>
      <c r="M43" s="8">
        <v>371.9</v>
      </c>
      <c r="N43" s="8">
        <v>369.7</v>
      </c>
      <c r="O43" s="28">
        <f t="shared" si="0"/>
        <v>5185.9999999999991</v>
      </c>
    </row>
    <row r="44" spans="1:15" ht="15" customHeight="1" x14ac:dyDescent="0.3">
      <c r="A44" s="6" t="s">
        <v>70</v>
      </c>
      <c r="B44" s="6" t="s">
        <v>71</v>
      </c>
      <c r="C44" s="8">
        <v>580.29999999999995</v>
      </c>
      <c r="D44" s="8">
        <v>566.5</v>
      </c>
      <c r="E44" s="8">
        <v>672.3</v>
      </c>
      <c r="F44" s="8">
        <v>360.1</v>
      </c>
      <c r="G44" s="8">
        <v>442.1</v>
      </c>
      <c r="H44" s="8">
        <v>404.4</v>
      </c>
      <c r="I44" s="8">
        <v>433.9</v>
      </c>
      <c r="J44" s="8">
        <v>436.6</v>
      </c>
      <c r="K44" s="8">
        <v>341.4</v>
      </c>
      <c r="L44" s="8">
        <v>310.2</v>
      </c>
      <c r="M44" s="8">
        <v>306.39999999999998</v>
      </c>
      <c r="N44" s="8">
        <v>303.3</v>
      </c>
      <c r="O44" s="28">
        <f t="shared" si="0"/>
        <v>5157.4999999999991</v>
      </c>
    </row>
    <row r="45" spans="1:15" ht="15" customHeight="1" x14ac:dyDescent="0.3">
      <c r="A45" s="6" t="s">
        <v>73</v>
      </c>
      <c r="B45" s="6" t="s">
        <v>38</v>
      </c>
      <c r="C45" s="8">
        <v>548</v>
      </c>
      <c r="D45" s="8">
        <v>480.8</v>
      </c>
      <c r="E45" s="8">
        <v>475.3</v>
      </c>
      <c r="F45" s="8">
        <v>358.8</v>
      </c>
      <c r="G45" s="8">
        <v>328.5</v>
      </c>
      <c r="H45" s="8">
        <v>483.5</v>
      </c>
      <c r="I45" s="8">
        <v>501.8</v>
      </c>
      <c r="J45" s="8">
        <v>425.6</v>
      </c>
      <c r="K45" s="8">
        <v>394.6</v>
      </c>
      <c r="L45" s="8">
        <v>387.6</v>
      </c>
      <c r="M45" s="8">
        <v>381.7</v>
      </c>
      <c r="N45" s="8">
        <v>368.7</v>
      </c>
      <c r="O45" s="28">
        <f t="shared" si="0"/>
        <v>5134.8999999999996</v>
      </c>
    </row>
    <row r="46" spans="1:15" ht="15" customHeight="1" x14ac:dyDescent="0.3">
      <c r="A46" s="6" t="s">
        <v>74</v>
      </c>
      <c r="B46" s="6" t="s">
        <v>16</v>
      </c>
      <c r="C46" s="8">
        <v>265.10000000000002</v>
      </c>
      <c r="D46" s="8">
        <v>158.4</v>
      </c>
      <c r="E46" s="8">
        <v>225.7</v>
      </c>
      <c r="F46" s="8">
        <v>410.6</v>
      </c>
      <c r="G46" s="8">
        <v>619.6</v>
      </c>
      <c r="H46" s="8">
        <v>485.3</v>
      </c>
      <c r="I46" s="8">
        <v>522.9</v>
      </c>
      <c r="J46" s="8">
        <v>541.20000000000005</v>
      </c>
      <c r="K46" s="8">
        <v>525.1</v>
      </c>
      <c r="L46" s="8">
        <v>476.9</v>
      </c>
      <c r="M46" s="8">
        <v>454</v>
      </c>
      <c r="N46" s="8">
        <v>437</v>
      </c>
      <c r="O46" s="28">
        <f t="shared" si="0"/>
        <v>5121.8</v>
      </c>
    </row>
    <row r="47" spans="1:15" ht="15" customHeight="1" x14ac:dyDescent="0.3">
      <c r="A47" s="6" t="s">
        <v>75</v>
      </c>
      <c r="B47" s="6" t="s">
        <v>29</v>
      </c>
      <c r="C47" s="8">
        <v>677.5</v>
      </c>
      <c r="D47" s="8">
        <v>539.1</v>
      </c>
      <c r="E47" s="8">
        <v>498.4</v>
      </c>
      <c r="F47" s="8">
        <v>451.9</v>
      </c>
      <c r="G47" s="8">
        <v>461</v>
      </c>
      <c r="H47" s="8">
        <v>425.4</v>
      </c>
      <c r="I47" s="8">
        <v>396.8</v>
      </c>
      <c r="J47" s="8">
        <v>395</v>
      </c>
      <c r="K47" s="8">
        <v>327.2</v>
      </c>
      <c r="L47" s="8">
        <v>315.60000000000002</v>
      </c>
      <c r="M47" s="8">
        <v>294</v>
      </c>
      <c r="N47" s="8">
        <v>293.8</v>
      </c>
      <c r="O47" s="28">
        <f t="shared" si="0"/>
        <v>5075.7000000000007</v>
      </c>
    </row>
    <row r="48" spans="1:15" ht="15" customHeight="1" x14ac:dyDescent="0.3">
      <c r="A48" s="6" t="s">
        <v>76</v>
      </c>
      <c r="B48" s="6" t="s">
        <v>77</v>
      </c>
      <c r="C48" s="8">
        <v>511.2</v>
      </c>
      <c r="D48" s="8">
        <v>492.1</v>
      </c>
      <c r="E48" s="8">
        <v>546.6</v>
      </c>
      <c r="F48" s="8">
        <v>507.8</v>
      </c>
      <c r="G48" s="8">
        <v>439.9</v>
      </c>
      <c r="H48" s="8">
        <v>334.9</v>
      </c>
      <c r="I48" s="8">
        <v>309.39999999999998</v>
      </c>
      <c r="J48" s="8">
        <v>447.3</v>
      </c>
      <c r="K48" s="8">
        <v>400.8</v>
      </c>
      <c r="L48" s="8">
        <v>321.7</v>
      </c>
      <c r="M48" s="8">
        <v>294.10000000000002</v>
      </c>
      <c r="N48" s="8">
        <v>331</v>
      </c>
      <c r="O48" s="28">
        <f t="shared" si="0"/>
        <v>4936.8000000000011</v>
      </c>
    </row>
    <row r="49" spans="1:15" ht="15" customHeight="1" x14ac:dyDescent="0.3">
      <c r="A49" s="6" t="s">
        <v>445</v>
      </c>
      <c r="B49" s="6" t="s">
        <v>392</v>
      </c>
      <c r="C49" s="8"/>
      <c r="D49" s="8"/>
      <c r="E49" s="8"/>
      <c r="F49" s="8"/>
      <c r="G49" s="8"/>
      <c r="H49" s="8"/>
      <c r="I49" s="8"/>
      <c r="J49" s="8">
        <v>1160.8</v>
      </c>
      <c r="K49" s="8">
        <v>1428.7</v>
      </c>
      <c r="L49" s="8">
        <v>1286.5999999999999</v>
      </c>
      <c r="M49" s="8">
        <v>752</v>
      </c>
      <c r="N49" s="8">
        <v>305.3</v>
      </c>
      <c r="O49" s="28">
        <f t="shared" si="0"/>
        <v>4933.4000000000005</v>
      </c>
    </row>
    <row r="50" spans="1:15" ht="15" customHeight="1" x14ac:dyDescent="0.3">
      <c r="A50" s="6" t="s">
        <v>79</v>
      </c>
      <c r="B50" s="6" t="s">
        <v>80</v>
      </c>
      <c r="C50" s="8">
        <v>443.7</v>
      </c>
      <c r="D50" s="8">
        <v>415.9</v>
      </c>
      <c r="E50" s="8">
        <v>450.7</v>
      </c>
      <c r="F50" s="8">
        <v>446.4</v>
      </c>
      <c r="G50" s="8">
        <v>471.9</v>
      </c>
      <c r="H50" s="8">
        <v>420.6</v>
      </c>
      <c r="I50" s="8">
        <v>459.4</v>
      </c>
      <c r="J50" s="8">
        <v>420.2</v>
      </c>
      <c r="K50" s="8">
        <v>425.3</v>
      </c>
      <c r="L50" s="8">
        <v>441.8</v>
      </c>
      <c r="M50" s="8">
        <v>239.9</v>
      </c>
      <c r="N50" s="8">
        <v>255.2</v>
      </c>
      <c r="O50" s="28">
        <f t="shared" si="0"/>
        <v>4890.9999999999991</v>
      </c>
    </row>
    <row r="51" spans="1:15" ht="15" customHeight="1" x14ac:dyDescent="0.3">
      <c r="A51" s="6" t="s">
        <v>82</v>
      </c>
      <c r="B51" s="6" t="s">
        <v>33</v>
      </c>
      <c r="C51" s="8">
        <v>488.2</v>
      </c>
      <c r="D51" s="8">
        <v>375</v>
      </c>
      <c r="E51" s="8">
        <v>361.1</v>
      </c>
      <c r="F51" s="8">
        <v>463.3</v>
      </c>
      <c r="G51" s="8">
        <v>524.6</v>
      </c>
      <c r="H51" s="8">
        <v>419.9</v>
      </c>
      <c r="I51" s="8">
        <v>333.9</v>
      </c>
      <c r="J51" s="8">
        <v>400.1</v>
      </c>
      <c r="K51" s="8">
        <v>390.1</v>
      </c>
      <c r="L51" s="8">
        <v>415.6</v>
      </c>
      <c r="M51" s="8">
        <v>339.4</v>
      </c>
      <c r="N51" s="8">
        <v>347.1</v>
      </c>
      <c r="O51" s="28">
        <f t="shared" si="0"/>
        <v>4858.3</v>
      </c>
    </row>
    <row r="52" spans="1:15" ht="15" customHeight="1" x14ac:dyDescent="0.3">
      <c r="A52" s="6" t="s">
        <v>83</v>
      </c>
      <c r="B52" s="6" t="s">
        <v>44</v>
      </c>
      <c r="C52" s="8">
        <v>545.29999999999995</v>
      </c>
      <c r="D52" s="8">
        <v>481.5</v>
      </c>
      <c r="E52" s="8">
        <v>512.1</v>
      </c>
      <c r="F52" s="8">
        <v>457.1</v>
      </c>
      <c r="G52" s="8">
        <v>405.1</v>
      </c>
      <c r="H52" s="8">
        <v>380.5</v>
      </c>
      <c r="I52" s="8">
        <v>375.4</v>
      </c>
      <c r="J52" s="8">
        <v>368.7</v>
      </c>
      <c r="K52" s="8">
        <v>329.8</v>
      </c>
      <c r="L52" s="8">
        <v>358.8</v>
      </c>
      <c r="M52" s="8">
        <v>346.6</v>
      </c>
      <c r="N52" s="8">
        <v>286.10000000000002</v>
      </c>
      <c r="O52" s="28">
        <f t="shared" si="0"/>
        <v>4847.0000000000009</v>
      </c>
    </row>
    <row r="53" spans="1:15" ht="15" customHeight="1" x14ac:dyDescent="0.3">
      <c r="A53" s="6" t="s">
        <v>446</v>
      </c>
      <c r="B53" s="6" t="s">
        <v>392</v>
      </c>
      <c r="C53" s="8"/>
      <c r="D53" s="8"/>
      <c r="E53" s="8"/>
      <c r="F53" s="8"/>
      <c r="G53" s="8"/>
      <c r="H53" s="8"/>
      <c r="I53" s="8"/>
      <c r="J53" s="8">
        <v>289.89999999999998</v>
      </c>
      <c r="K53" s="8">
        <v>1176.2</v>
      </c>
      <c r="L53" s="8">
        <v>1395.4</v>
      </c>
      <c r="M53" s="8">
        <v>1001.7</v>
      </c>
      <c r="N53" s="8">
        <v>953.8</v>
      </c>
      <c r="O53" s="28">
        <f t="shared" si="0"/>
        <v>4817</v>
      </c>
    </row>
    <row r="54" spans="1:15" ht="15" customHeight="1" x14ac:dyDescent="0.3">
      <c r="A54" s="6" t="s">
        <v>84</v>
      </c>
      <c r="B54" s="6" t="s">
        <v>85</v>
      </c>
      <c r="C54" s="8">
        <v>491.9</v>
      </c>
      <c r="D54" s="8">
        <v>442.1</v>
      </c>
      <c r="E54" s="8">
        <v>301.10000000000002</v>
      </c>
      <c r="F54" s="8">
        <v>424.2</v>
      </c>
      <c r="G54" s="8">
        <v>418.7</v>
      </c>
      <c r="H54" s="8">
        <v>367.2</v>
      </c>
      <c r="I54" s="8">
        <v>356.4</v>
      </c>
      <c r="J54" s="8">
        <v>435.9</v>
      </c>
      <c r="K54" s="8">
        <v>396.2</v>
      </c>
      <c r="L54" s="8">
        <v>402.7</v>
      </c>
      <c r="M54" s="8">
        <v>327.39999999999998</v>
      </c>
      <c r="N54" s="8">
        <v>319.10000000000002</v>
      </c>
      <c r="O54" s="28">
        <f t="shared" si="0"/>
        <v>4682.8999999999996</v>
      </c>
    </row>
    <row r="55" spans="1:15" ht="15" customHeight="1" x14ac:dyDescent="0.3">
      <c r="A55" s="6" t="s">
        <v>87</v>
      </c>
      <c r="B55" s="6" t="s">
        <v>36</v>
      </c>
      <c r="C55" s="8">
        <v>521.70000000000005</v>
      </c>
      <c r="D55" s="8">
        <v>453.6</v>
      </c>
      <c r="E55" s="8">
        <v>402.7</v>
      </c>
      <c r="F55" s="8">
        <v>499.2</v>
      </c>
      <c r="G55" s="8">
        <v>446.6</v>
      </c>
      <c r="H55" s="8">
        <v>373.7</v>
      </c>
      <c r="I55" s="8">
        <v>364.7</v>
      </c>
      <c r="J55" s="8">
        <v>344.1</v>
      </c>
      <c r="K55" s="8">
        <v>317.8</v>
      </c>
      <c r="L55" s="8">
        <v>311.60000000000002</v>
      </c>
      <c r="M55" s="8">
        <v>305.89999999999998</v>
      </c>
      <c r="N55" s="8">
        <v>317.39999999999998</v>
      </c>
      <c r="O55" s="28">
        <f t="shared" si="0"/>
        <v>4658.9999999999991</v>
      </c>
    </row>
    <row r="56" spans="1:15" ht="15" customHeight="1" x14ac:dyDescent="0.3">
      <c r="A56" s="6" t="s">
        <v>88</v>
      </c>
      <c r="B56" s="6" t="s">
        <v>89</v>
      </c>
      <c r="C56" s="8">
        <v>446.6</v>
      </c>
      <c r="D56" s="8">
        <v>342.6</v>
      </c>
      <c r="E56" s="8">
        <v>404.8</v>
      </c>
      <c r="F56" s="8">
        <v>357.4</v>
      </c>
      <c r="G56" s="8">
        <v>303.10000000000002</v>
      </c>
      <c r="H56" s="8">
        <v>158.80000000000001</v>
      </c>
      <c r="I56" s="8">
        <v>440.2</v>
      </c>
      <c r="J56" s="8">
        <v>496.7</v>
      </c>
      <c r="K56" s="8">
        <v>489.5</v>
      </c>
      <c r="L56" s="8">
        <v>513.20000000000005</v>
      </c>
      <c r="M56" s="8">
        <v>363.9</v>
      </c>
      <c r="N56" s="8">
        <v>325.60000000000002</v>
      </c>
      <c r="O56" s="28">
        <f t="shared" si="0"/>
        <v>4642.3999999999996</v>
      </c>
    </row>
    <row r="57" spans="1:15" ht="15" customHeight="1" x14ac:dyDescent="0.3">
      <c r="A57" s="6" t="s">
        <v>91</v>
      </c>
      <c r="B57" s="6" t="s">
        <v>85</v>
      </c>
      <c r="C57" s="8">
        <v>356.7</v>
      </c>
      <c r="D57" s="8">
        <v>330.4</v>
      </c>
      <c r="E57" s="8">
        <v>446.9</v>
      </c>
      <c r="F57" s="8">
        <v>477.2</v>
      </c>
      <c r="G57" s="8">
        <v>511.6</v>
      </c>
      <c r="H57" s="8">
        <v>428.2</v>
      </c>
      <c r="I57" s="8">
        <v>298.39999999999998</v>
      </c>
      <c r="J57" s="8">
        <v>328.4</v>
      </c>
      <c r="K57" s="8">
        <v>332.7</v>
      </c>
      <c r="L57" s="8">
        <v>369</v>
      </c>
      <c r="M57" s="8">
        <v>361.8</v>
      </c>
      <c r="N57" s="8">
        <v>309.3</v>
      </c>
      <c r="O57" s="28">
        <f t="shared" si="0"/>
        <v>4550.6000000000004</v>
      </c>
    </row>
    <row r="58" spans="1:15" ht="15" customHeight="1" x14ac:dyDescent="0.3">
      <c r="A58" s="6" t="s">
        <v>92</v>
      </c>
      <c r="B58" s="6" t="s">
        <v>51</v>
      </c>
      <c r="C58" s="8">
        <v>516.4</v>
      </c>
      <c r="D58" s="8">
        <v>437.5</v>
      </c>
      <c r="E58" s="8">
        <v>476.9</v>
      </c>
      <c r="F58" s="8">
        <v>424.8</v>
      </c>
      <c r="G58" s="8">
        <v>421</v>
      </c>
      <c r="H58" s="8">
        <v>363.3</v>
      </c>
      <c r="I58" s="8">
        <v>381.6</v>
      </c>
      <c r="J58" s="8">
        <v>335.4</v>
      </c>
      <c r="K58" s="8">
        <v>310.10000000000002</v>
      </c>
      <c r="L58" s="8">
        <v>297.89999999999998</v>
      </c>
      <c r="M58" s="8">
        <v>286.39999999999998</v>
      </c>
      <c r="N58" s="8">
        <v>289</v>
      </c>
      <c r="O58" s="28">
        <f t="shared" si="0"/>
        <v>4540.3</v>
      </c>
    </row>
    <row r="59" spans="1:15" ht="15" customHeight="1" x14ac:dyDescent="0.3">
      <c r="A59" s="6" t="s">
        <v>93</v>
      </c>
      <c r="B59" s="6" t="s">
        <v>85</v>
      </c>
      <c r="C59" s="8">
        <v>474.6</v>
      </c>
      <c r="D59" s="8">
        <v>376.7</v>
      </c>
      <c r="E59" s="8">
        <v>277</v>
      </c>
      <c r="F59" s="8">
        <v>415.5</v>
      </c>
      <c r="G59" s="8">
        <v>407</v>
      </c>
      <c r="H59" s="8">
        <v>402.2</v>
      </c>
      <c r="I59" s="8">
        <v>349.4</v>
      </c>
      <c r="J59" s="8">
        <v>370</v>
      </c>
      <c r="K59" s="8">
        <v>320</v>
      </c>
      <c r="L59" s="8">
        <v>318.89999999999998</v>
      </c>
      <c r="M59" s="8">
        <v>278.7</v>
      </c>
      <c r="N59" s="8">
        <v>267.89999999999998</v>
      </c>
      <c r="O59" s="28">
        <f t="shared" si="0"/>
        <v>4257.8999999999996</v>
      </c>
    </row>
    <row r="60" spans="1:15" ht="15" customHeight="1" x14ac:dyDescent="0.3">
      <c r="A60" s="6" t="s">
        <v>447</v>
      </c>
      <c r="B60" s="6" t="s">
        <v>392</v>
      </c>
      <c r="C60" s="8"/>
      <c r="D60" s="8"/>
      <c r="E60" s="8"/>
      <c r="F60" s="8"/>
      <c r="G60" s="8"/>
      <c r="H60" s="8"/>
      <c r="I60" s="8"/>
      <c r="J60" s="8">
        <v>245.9</v>
      </c>
      <c r="K60" s="8">
        <v>1200.0999999999999</v>
      </c>
      <c r="L60" s="8">
        <v>1005.5</v>
      </c>
      <c r="M60" s="8">
        <v>955.8</v>
      </c>
      <c r="N60" s="8">
        <v>842.9</v>
      </c>
      <c r="O60" s="28">
        <f t="shared" si="0"/>
        <v>4250.2</v>
      </c>
    </row>
    <row r="61" spans="1:15" ht="15" customHeight="1" x14ac:dyDescent="0.3">
      <c r="A61" s="6" t="s">
        <v>448</v>
      </c>
      <c r="B61" s="6" t="s">
        <v>437</v>
      </c>
      <c r="C61" s="8"/>
      <c r="D61" s="8"/>
      <c r="E61" s="8"/>
      <c r="F61" s="8"/>
      <c r="G61" s="8"/>
      <c r="H61" s="8"/>
      <c r="I61" s="8"/>
      <c r="J61" s="8">
        <v>1358.2</v>
      </c>
      <c r="K61" s="8">
        <v>1132.4000000000001</v>
      </c>
      <c r="L61" s="8">
        <v>283.10000000000002</v>
      </c>
      <c r="M61" s="8">
        <v>761.5</v>
      </c>
      <c r="N61" s="8">
        <v>710.6</v>
      </c>
      <c r="O61" s="28">
        <f t="shared" si="0"/>
        <v>4245.8</v>
      </c>
    </row>
    <row r="62" spans="1:15" ht="15" customHeight="1" x14ac:dyDescent="0.3">
      <c r="A62" s="6" t="s">
        <v>449</v>
      </c>
      <c r="B62" s="6" t="s">
        <v>26</v>
      </c>
      <c r="C62" s="8"/>
      <c r="D62" s="8"/>
      <c r="E62" s="8"/>
      <c r="F62" s="8">
        <v>420.5</v>
      </c>
      <c r="G62" s="8">
        <v>659.8</v>
      </c>
      <c r="H62" s="8">
        <v>552.6</v>
      </c>
      <c r="I62" s="8">
        <v>684.6</v>
      </c>
      <c r="J62" s="8">
        <v>477.1</v>
      </c>
      <c r="K62" s="8">
        <v>452.1</v>
      </c>
      <c r="L62" s="8">
        <v>339</v>
      </c>
      <c r="M62" s="8">
        <v>292.60000000000002</v>
      </c>
      <c r="N62" s="8">
        <v>356.1</v>
      </c>
      <c r="O62" s="28">
        <f t="shared" si="0"/>
        <v>4234.3999999999996</v>
      </c>
    </row>
    <row r="63" spans="1:15" ht="15" customHeight="1" x14ac:dyDescent="0.3">
      <c r="A63" s="6" t="s">
        <v>391</v>
      </c>
      <c r="B63" s="6" t="s">
        <v>392</v>
      </c>
      <c r="C63" s="8">
        <v>516.6</v>
      </c>
      <c r="D63" s="8">
        <v>378.5</v>
      </c>
      <c r="E63" s="8">
        <v>425.8</v>
      </c>
      <c r="F63" s="8">
        <v>369.4</v>
      </c>
      <c r="G63" s="8">
        <v>349.2</v>
      </c>
      <c r="H63" s="8">
        <v>373.2</v>
      </c>
      <c r="I63" s="8">
        <v>14.3</v>
      </c>
      <c r="J63" s="8">
        <v>285.60000000000002</v>
      </c>
      <c r="K63" s="8">
        <v>329.2</v>
      </c>
      <c r="L63" s="8">
        <v>343.6</v>
      </c>
      <c r="M63" s="8">
        <v>358</v>
      </c>
      <c r="N63" s="8">
        <v>340.6</v>
      </c>
      <c r="O63" s="28">
        <f t="shared" si="0"/>
        <v>4084</v>
      </c>
    </row>
    <row r="64" spans="1:15" ht="15" customHeight="1" x14ac:dyDescent="0.3">
      <c r="A64" s="6" t="s">
        <v>395</v>
      </c>
      <c r="B64" s="6" t="s">
        <v>392</v>
      </c>
      <c r="C64" s="8">
        <v>449.1</v>
      </c>
      <c r="D64" s="8">
        <v>378.6</v>
      </c>
      <c r="E64" s="8">
        <v>424.7</v>
      </c>
      <c r="F64" s="8">
        <v>404.4</v>
      </c>
      <c r="G64" s="8">
        <v>396.6</v>
      </c>
      <c r="H64" s="8">
        <v>409.1</v>
      </c>
      <c r="I64" s="8">
        <v>2.2000000000000002</v>
      </c>
      <c r="J64" s="8">
        <v>295.3</v>
      </c>
      <c r="K64" s="8">
        <v>225</v>
      </c>
      <c r="L64" s="8">
        <v>200.6</v>
      </c>
      <c r="M64" s="8">
        <v>339.6</v>
      </c>
      <c r="N64" s="8">
        <v>420.9</v>
      </c>
      <c r="O64" s="28">
        <f t="shared" si="0"/>
        <v>3946.1</v>
      </c>
    </row>
    <row r="65" spans="1:15" ht="15" customHeight="1" x14ac:dyDescent="0.3">
      <c r="A65" s="6" t="s">
        <v>94</v>
      </c>
      <c r="B65" s="6" t="s">
        <v>95</v>
      </c>
      <c r="C65" s="8">
        <v>349.2</v>
      </c>
      <c r="D65" s="8">
        <v>305.3</v>
      </c>
      <c r="E65" s="8">
        <v>368.1</v>
      </c>
      <c r="F65" s="8">
        <v>350.7</v>
      </c>
      <c r="G65" s="8">
        <v>349.1</v>
      </c>
      <c r="H65" s="8">
        <v>320.60000000000002</v>
      </c>
      <c r="I65" s="8">
        <v>364.9</v>
      </c>
      <c r="J65" s="8">
        <v>356.2</v>
      </c>
      <c r="K65" s="8">
        <v>315.3</v>
      </c>
      <c r="L65" s="8">
        <v>279.60000000000002</v>
      </c>
      <c r="M65" s="8">
        <v>260.5</v>
      </c>
      <c r="N65" s="8">
        <v>269.3</v>
      </c>
      <c r="O65" s="28">
        <f t="shared" si="0"/>
        <v>3888.8</v>
      </c>
    </row>
    <row r="66" spans="1:15" ht="15" customHeight="1" x14ac:dyDescent="0.3">
      <c r="A66" s="6" t="s">
        <v>97</v>
      </c>
      <c r="B66" s="6" t="s">
        <v>85</v>
      </c>
      <c r="C66" s="8">
        <v>265.60000000000002</v>
      </c>
      <c r="D66" s="8">
        <v>248.5</v>
      </c>
      <c r="E66" s="8">
        <v>185.8</v>
      </c>
      <c r="F66" s="8">
        <v>258.10000000000002</v>
      </c>
      <c r="G66" s="8">
        <v>314.5</v>
      </c>
      <c r="H66" s="8">
        <v>398.9</v>
      </c>
      <c r="I66" s="8">
        <v>370</v>
      </c>
      <c r="J66" s="8">
        <v>427.8</v>
      </c>
      <c r="K66" s="8">
        <v>364.6</v>
      </c>
      <c r="L66" s="8">
        <v>311.2</v>
      </c>
      <c r="M66" s="8">
        <v>325.3</v>
      </c>
      <c r="N66" s="8">
        <v>281.8</v>
      </c>
      <c r="O66" s="28">
        <f t="shared" si="0"/>
        <v>3752.1000000000004</v>
      </c>
    </row>
    <row r="67" spans="1:15" ht="15" customHeight="1" x14ac:dyDescent="0.3">
      <c r="A67" s="6" t="s">
        <v>98</v>
      </c>
      <c r="B67" s="6" t="s">
        <v>89</v>
      </c>
      <c r="C67" s="8">
        <v>320.2</v>
      </c>
      <c r="D67" s="8">
        <v>218.7</v>
      </c>
      <c r="E67" s="8">
        <v>276.8</v>
      </c>
      <c r="F67" s="8">
        <v>274.5</v>
      </c>
      <c r="G67" s="8">
        <v>235.5</v>
      </c>
      <c r="H67" s="8">
        <v>256.39999999999998</v>
      </c>
      <c r="I67" s="8">
        <v>317.60000000000002</v>
      </c>
      <c r="J67" s="8">
        <v>347.3</v>
      </c>
      <c r="K67" s="8">
        <v>210.7</v>
      </c>
      <c r="L67" s="8">
        <v>359.8</v>
      </c>
      <c r="M67" s="8">
        <v>463.5</v>
      </c>
      <c r="N67" s="8">
        <v>428</v>
      </c>
      <c r="O67" s="28">
        <f t="shared" si="0"/>
        <v>3709</v>
      </c>
    </row>
    <row r="68" spans="1:15" ht="15" customHeight="1" x14ac:dyDescent="0.3">
      <c r="A68" s="6" t="s">
        <v>450</v>
      </c>
      <c r="B68" s="6" t="s">
        <v>397</v>
      </c>
      <c r="C68" s="8"/>
      <c r="D68" s="8"/>
      <c r="E68" s="8"/>
      <c r="F68" s="8">
        <v>102.4</v>
      </c>
      <c r="G68" s="8">
        <v>890.5</v>
      </c>
      <c r="H68" s="8">
        <v>518.29999999999995</v>
      </c>
      <c r="I68" s="8">
        <v>356.5</v>
      </c>
      <c r="J68" s="8">
        <v>292.3</v>
      </c>
      <c r="K68" s="8">
        <v>364.4</v>
      </c>
      <c r="L68" s="8">
        <v>389.1</v>
      </c>
      <c r="M68" s="8">
        <v>401.2</v>
      </c>
      <c r="N68" s="8">
        <v>393.2</v>
      </c>
      <c r="O68" s="28">
        <f t="shared" ref="O68:O131" si="1">SUM(C68:N68)</f>
        <v>3707.8999999999996</v>
      </c>
    </row>
    <row r="69" spans="1:15" ht="15" customHeight="1" x14ac:dyDescent="0.3">
      <c r="A69" s="6" t="s">
        <v>99</v>
      </c>
      <c r="B69" s="6" t="s">
        <v>100</v>
      </c>
      <c r="C69" s="8">
        <v>324.2</v>
      </c>
      <c r="D69" s="8">
        <v>295.5</v>
      </c>
      <c r="E69" s="8">
        <v>314.7</v>
      </c>
      <c r="F69" s="8">
        <v>304.7</v>
      </c>
      <c r="G69" s="8">
        <v>297.7</v>
      </c>
      <c r="H69" s="8">
        <v>274</v>
      </c>
      <c r="I69" s="8">
        <v>295</v>
      </c>
      <c r="J69" s="8">
        <v>312</v>
      </c>
      <c r="K69" s="8">
        <v>290.60000000000002</v>
      </c>
      <c r="L69" s="8">
        <v>286</v>
      </c>
      <c r="M69" s="8">
        <v>299.60000000000002</v>
      </c>
      <c r="N69" s="8">
        <v>282.2</v>
      </c>
      <c r="O69" s="28">
        <f t="shared" si="1"/>
        <v>3576.2</v>
      </c>
    </row>
    <row r="70" spans="1:15" ht="15" customHeight="1" x14ac:dyDescent="0.3">
      <c r="A70" s="6" t="s">
        <v>102</v>
      </c>
      <c r="B70" s="6" t="s">
        <v>85</v>
      </c>
      <c r="C70" s="8">
        <v>451.2</v>
      </c>
      <c r="D70" s="8">
        <v>324.3</v>
      </c>
      <c r="E70" s="8">
        <v>231.7</v>
      </c>
      <c r="F70" s="8">
        <v>161.5</v>
      </c>
      <c r="G70" s="8">
        <v>433.3</v>
      </c>
      <c r="H70" s="8">
        <v>356.8</v>
      </c>
      <c r="I70" s="8">
        <v>294.2</v>
      </c>
      <c r="J70" s="8">
        <v>270.89999999999998</v>
      </c>
      <c r="K70" s="8">
        <v>237.3</v>
      </c>
      <c r="L70" s="8">
        <v>224.9</v>
      </c>
      <c r="M70" s="8">
        <v>234.1</v>
      </c>
      <c r="N70" s="8">
        <v>304.5</v>
      </c>
      <c r="O70" s="28">
        <f t="shared" si="1"/>
        <v>3524.7000000000003</v>
      </c>
    </row>
    <row r="71" spans="1:15" ht="15" customHeight="1" x14ac:dyDescent="0.3">
      <c r="A71" s="6" t="s">
        <v>103</v>
      </c>
      <c r="B71" s="6" t="s">
        <v>51</v>
      </c>
      <c r="C71" s="8">
        <v>378</v>
      </c>
      <c r="D71" s="8">
        <v>321.7</v>
      </c>
      <c r="E71" s="8">
        <v>338.4</v>
      </c>
      <c r="F71" s="8">
        <v>282.3</v>
      </c>
      <c r="G71" s="8">
        <v>229.1</v>
      </c>
      <c r="H71" s="8">
        <v>255.7</v>
      </c>
      <c r="I71" s="8">
        <v>318.89999999999998</v>
      </c>
      <c r="J71" s="8">
        <v>251.7</v>
      </c>
      <c r="K71" s="8">
        <v>282.8</v>
      </c>
      <c r="L71" s="8">
        <v>280.10000000000002</v>
      </c>
      <c r="M71" s="8">
        <v>256.3</v>
      </c>
      <c r="N71" s="8">
        <v>253.2</v>
      </c>
      <c r="O71" s="28">
        <f t="shared" si="1"/>
        <v>3448.2</v>
      </c>
    </row>
    <row r="72" spans="1:15" ht="15" customHeight="1" x14ac:dyDescent="0.3">
      <c r="A72" s="6" t="s">
        <v>104</v>
      </c>
      <c r="B72" s="6" t="s">
        <v>29</v>
      </c>
      <c r="C72" s="8">
        <v>388</v>
      </c>
      <c r="D72" s="8">
        <v>327.60000000000002</v>
      </c>
      <c r="E72" s="8">
        <v>347.9</v>
      </c>
      <c r="F72" s="8">
        <v>302.3</v>
      </c>
      <c r="G72" s="8">
        <v>316.10000000000002</v>
      </c>
      <c r="H72" s="8">
        <v>305</v>
      </c>
      <c r="I72" s="8">
        <v>289.7</v>
      </c>
      <c r="J72" s="8">
        <v>281.2</v>
      </c>
      <c r="K72" s="8">
        <v>249.5</v>
      </c>
      <c r="L72" s="8">
        <v>225.4</v>
      </c>
      <c r="M72" s="8">
        <v>198.8</v>
      </c>
      <c r="N72" s="8">
        <v>160.5</v>
      </c>
      <c r="O72" s="28">
        <f t="shared" si="1"/>
        <v>3392</v>
      </c>
    </row>
    <row r="73" spans="1:15" ht="15" customHeight="1" x14ac:dyDescent="0.3">
      <c r="A73" s="6" t="s">
        <v>451</v>
      </c>
      <c r="B73" s="6" t="s">
        <v>392</v>
      </c>
      <c r="C73" s="8"/>
      <c r="D73" s="8"/>
      <c r="E73" s="8"/>
      <c r="F73" s="8"/>
      <c r="G73" s="8"/>
      <c r="H73" s="8"/>
      <c r="I73" s="8"/>
      <c r="J73" s="8"/>
      <c r="K73" s="8">
        <v>574.1</v>
      </c>
      <c r="L73" s="8">
        <v>1055.2</v>
      </c>
      <c r="M73" s="8">
        <v>925.4</v>
      </c>
      <c r="N73" s="8">
        <v>825.8</v>
      </c>
      <c r="O73" s="28">
        <f t="shared" si="1"/>
        <v>3380.5</v>
      </c>
    </row>
    <row r="74" spans="1:15" ht="15" customHeight="1" x14ac:dyDescent="0.3">
      <c r="A74" s="6" t="s">
        <v>105</v>
      </c>
      <c r="B74" s="6" t="s">
        <v>85</v>
      </c>
      <c r="C74" s="8">
        <v>352.2</v>
      </c>
      <c r="D74" s="8">
        <v>316.2</v>
      </c>
      <c r="E74" s="8">
        <v>328.6</v>
      </c>
      <c r="F74" s="8">
        <v>329.9</v>
      </c>
      <c r="G74" s="8">
        <v>316</v>
      </c>
      <c r="H74" s="8">
        <v>315.3</v>
      </c>
      <c r="I74" s="8">
        <v>313.39999999999998</v>
      </c>
      <c r="J74" s="8">
        <v>208.4</v>
      </c>
      <c r="K74" s="8">
        <v>244.5</v>
      </c>
      <c r="L74" s="8">
        <v>208.2</v>
      </c>
      <c r="M74" s="8">
        <v>237</v>
      </c>
      <c r="N74" s="8">
        <v>194.5</v>
      </c>
      <c r="O74" s="28">
        <f t="shared" si="1"/>
        <v>3364.2</v>
      </c>
    </row>
    <row r="75" spans="1:15" ht="15" customHeight="1" x14ac:dyDescent="0.3">
      <c r="A75" s="6" t="s">
        <v>453</v>
      </c>
      <c r="B75" s="6" t="s">
        <v>454</v>
      </c>
      <c r="C75" s="8"/>
      <c r="D75" s="8"/>
      <c r="E75" s="8"/>
      <c r="F75" s="8"/>
      <c r="G75" s="8"/>
      <c r="H75" s="8"/>
      <c r="I75" s="8"/>
      <c r="J75" s="8"/>
      <c r="K75" s="8">
        <v>87.7</v>
      </c>
      <c r="L75" s="8">
        <v>1364.7</v>
      </c>
      <c r="M75" s="8">
        <v>1053.5</v>
      </c>
      <c r="N75" s="8">
        <v>843.6</v>
      </c>
      <c r="O75" s="28">
        <f t="shared" si="1"/>
        <v>3349.5</v>
      </c>
    </row>
    <row r="76" spans="1:15" ht="15" customHeight="1" x14ac:dyDescent="0.3">
      <c r="A76" s="6" t="s">
        <v>106</v>
      </c>
      <c r="B76" s="6" t="s">
        <v>38</v>
      </c>
      <c r="C76" s="8">
        <v>425</v>
      </c>
      <c r="D76" s="8">
        <v>278.8</v>
      </c>
      <c r="E76" s="8">
        <v>241.2</v>
      </c>
      <c r="F76" s="8">
        <v>254</v>
      </c>
      <c r="G76" s="8">
        <v>278</v>
      </c>
      <c r="H76" s="8">
        <v>293.60000000000002</v>
      </c>
      <c r="I76" s="8">
        <v>272.7</v>
      </c>
      <c r="J76" s="8">
        <v>251.3</v>
      </c>
      <c r="K76" s="8">
        <v>237.1</v>
      </c>
      <c r="L76" s="8">
        <v>257.3</v>
      </c>
      <c r="M76" s="8">
        <v>230.7</v>
      </c>
      <c r="N76" s="8">
        <v>302.5</v>
      </c>
      <c r="O76" s="28">
        <f t="shared" si="1"/>
        <v>3322.2</v>
      </c>
    </row>
    <row r="77" spans="1:15" ht="15" customHeight="1" x14ac:dyDescent="0.3">
      <c r="A77" s="6" t="s">
        <v>457</v>
      </c>
      <c r="B77" s="6" t="s">
        <v>454</v>
      </c>
      <c r="C77" s="8"/>
      <c r="D77" s="8"/>
      <c r="E77" s="8"/>
      <c r="F77" s="8"/>
      <c r="G77" s="8"/>
      <c r="H77" s="8"/>
      <c r="I77" s="8"/>
      <c r="J77" s="8"/>
      <c r="K77" s="8">
        <v>736.7</v>
      </c>
      <c r="L77" s="8">
        <v>1018.6</v>
      </c>
      <c r="M77" s="8">
        <v>846.4</v>
      </c>
      <c r="N77" s="8">
        <v>718.3</v>
      </c>
      <c r="O77" s="28">
        <f t="shared" si="1"/>
        <v>3320</v>
      </c>
    </row>
    <row r="78" spans="1:15" ht="15" customHeight="1" x14ac:dyDescent="0.3">
      <c r="A78" s="6" t="s">
        <v>458</v>
      </c>
      <c r="B78" s="6" t="s">
        <v>62</v>
      </c>
      <c r="C78" s="8"/>
      <c r="D78" s="8"/>
      <c r="E78" s="8"/>
      <c r="F78" s="8"/>
      <c r="G78" s="8"/>
      <c r="H78" s="8"/>
      <c r="I78" s="8"/>
      <c r="J78" s="8"/>
      <c r="K78" s="8"/>
      <c r="L78" s="8">
        <v>682.4</v>
      </c>
      <c r="M78" s="8">
        <v>1231.9000000000001</v>
      </c>
      <c r="N78" s="8">
        <v>1298.9000000000001</v>
      </c>
      <c r="O78" s="28">
        <f t="shared" si="1"/>
        <v>3213.2000000000003</v>
      </c>
    </row>
    <row r="79" spans="1:15" ht="15" customHeight="1" x14ac:dyDescent="0.3">
      <c r="A79" s="6" t="s">
        <v>107</v>
      </c>
      <c r="B79" s="6" t="s">
        <v>85</v>
      </c>
      <c r="C79" s="8">
        <v>271.89999999999998</v>
      </c>
      <c r="D79" s="8">
        <v>254.1</v>
      </c>
      <c r="E79" s="8">
        <v>264.10000000000002</v>
      </c>
      <c r="F79" s="8">
        <v>265.10000000000002</v>
      </c>
      <c r="G79" s="8">
        <v>279.60000000000002</v>
      </c>
      <c r="H79" s="8">
        <v>253.4</v>
      </c>
      <c r="I79" s="8">
        <v>239.5</v>
      </c>
      <c r="J79" s="8">
        <v>274.39999999999998</v>
      </c>
      <c r="K79" s="8">
        <v>254.4</v>
      </c>
      <c r="L79" s="8">
        <v>261</v>
      </c>
      <c r="M79" s="8">
        <v>230.9</v>
      </c>
      <c r="N79" s="8">
        <v>330.6</v>
      </c>
      <c r="O79" s="28">
        <f t="shared" si="1"/>
        <v>3179.0000000000005</v>
      </c>
    </row>
    <row r="80" spans="1:15" ht="15" customHeight="1" x14ac:dyDescent="0.3">
      <c r="A80" s="6" t="s">
        <v>108</v>
      </c>
      <c r="B80" s="6" t="s">
        <v>109</v>
      </c>
      <c r="C80" s="8">
        <v>343.2</v>
      </c>
      <c r="D80" s="8">
        <v>281.39999999999998</v>
      </c>
      <c r="E80" s="8">
        <v>286.89999999999998</v>
      </c>
      <c r="F80" s="8">
        <v>265.8</v>
      </c>
      <c r="G80" s="8">
        <v>277.7</v>
      </c>
      <c r="H80" s="8">
        <v>262</v>
      </c>
      <c r="I80" s="8">
        <v>256.7</v>
      </c>
      <c r="J80" s="8">
        <v>248.4</v>
      </c>
      <c r="K80" s="8">
        <v>251.4</v>
      </c>
      <c r="L80" s="8">
        <v>219.9</v>
      </c>
      <c r="M80" s="8">
        <v>206.4</v>
      </c>
      <c r="N80" s="8">
        <v>214.8</v>
      </c>
      <c r="O80" s="28">
        <f t="shared" si="1"/>
        <v>3114.6000000000004</v>
      </c>
    </row>
    <row r="81" spans="1:15" ht="15" customHeight="1" x14ac:dyDescent="0.3">
      <c r="A81" s="6" t="s">
        <v>111</v>
      </c>
      <c r="B81" s="6" t="s">
        <v>68</v>
      </c>
      <c r="C81" s="8">
        <v>326.10000000000002</v>
      </c>
      <c r="D81" s="8">
        <v>260</v>
      </c>
      <c r="E81" s="8">
        <v>233.5</v>
      </c>
      <c r="F81" s="8">
        <v>195.3</v>
      </c>
      <c r="G81" s="8">
        <v>234.1</v>
      </c>
      <c r="H81" s="8">
        <v>238.2</v>
      </c>
      <c r="I81" s="8">
        <v>281.3</v>
      </c>
      <c r="J81" s="8">
        <v>266.2</v>
      </c>
      <c r="K81" s="8">
        <v>240.2</v>
      </c>
      <c r="L81" s="8">
        <v>269.5</v>
      </c>
      <c r="M81" s="8">
        <v>245.8</v>
      </c>
      <c r="N81" s="8">
        <v>251.9</v>
      </c>
      <c r="O81" s="28">
        <f t="shared" si="1"/>
        <v>3042.1000000000004</v>
      </c>
    </row>
    <row r="82" spans="1:15" ht="15" customHeight="1" x14ac:dyDescent="0.3">
      <c r="A82" s="6" t="s">
        <v>459</v>
      </c>
      <c r="B82" s="6" t="s">
        <v>454</v>
      </c>
      <c r="C82" s="8"/>
      <c r="D82" s="8"/>
      <c r="E82" s="8"/>
      <c r="F82" s="8"/>
      <c r="G82" s="8"/>
      <c r="H82" s="8"/>
      <c r="I82" s="8"/>
      <c r="J82" s="8"/>
      <c r="K82" s="8">
        <v>692.8</v>
      </c>
      <c r="L82" s="8">
        <v>1066.5</v>
      </c>
      <c r="M82" s="8">
        <v>687.4</v>
      </c>
      <c r="N82" s="8">
        <v>565.70000000000005</v>
      </c>
      <c r="O82" s="28">
        <f t="shared" si="1"/>
        <v>3012.3999999999996</v>
      </c>
    </row>
    <row r="83" spans="1:15" ht="15" customHeight="1" x14ac:dyDescent="0.3">
      <c r="A83" s="6" t="s">
        <v>112</v>
      </c>
      <c r="B83" s="6" t="s">
        <v>85</v>
      </c>
      <c r="C83" s="8">
        <v>259.39999999999998</v>
      </c>
      <c r="D83" s="8">
        <v>231.5</v>
      </c>
      <c r="E83" s="8">
        <v>240.6</v>
      </c>
      <c r="F83" s="8">
        <v>241.6</v>
      </c>
      <c r="G83" s="8">
        <v>263.2</v>
      </c>
      <c r="H83" s="8">
        <v>275.89999999999998</v>
      </c>
      <c r="I83" s="8">
        <v>259.5</v>
      </c>
      <c r="J83" s="8">
        <v>274.3</v>
      </c>
      <c r="K83" s="8">
        <v>264.3</v>
      </c>
      <c r="L83" s="8">
        <v>286.60000000000002</v>
      </c>
      <c r="M83" s="8">
        <v>166.4</v>
      </c>
      <c r="N83" s="8">
        <v>218.1</v>
      </c>
      <c r="O83" s="28">
        <f t="shared" si="1"/>
        <v>2981.3999999999996</v>
      </c>
    </row>
    <row r="84" spans="1:15" ht="15" customHeight="1" x14ac:dyDescent="0.3">
      <c r="A84" s="6" t="s">
        <v>113</v>
      </c>
      <c r="B84" s="6" t="s">
        <v>65</v>
      </c>
      <c r="C84" s="8">
        <v>562.6</v>
      </c>
      <c r="D84" s="8">
        <v>409.6</v>
      </c>
      <c r="E84" s="8">
        <v>382.3</v>
      </c>
      <c r="F84" s="8">
        <v>190.9</v>
      </c>
      <c r="G84" s="8">
        <v>196.2</v>
      </c>
      <c r="H84" s="8">
        <v>153.19999999999999</v>
      </c>
      <c r="I84" s="8">
        <v>211.6</v>
      </c>
      <c r="J84" s="8">
        <v>202.4</v>
      </c>
      <c r="K84" s="8">
        <v>218.4</v>
      </c>
      <c r="L84" s="8">
        <v>209.4</v>
      </c>
      <c r="M84" s="8">
        <v>104.8</v>
      </c>
      <c r="N84" s="8">
        <v>128.80000000000001</v>
      </c>
      <c r="O84" s="28">
        <f t="shared" si="1"/>
        <v>2970.2000000000007</v>
      </c>
    </row>
    <row r="85" spans="1:15" ht="15" customHeight="1" x14ac:dyDescent="0.3">
      <c r="A85" s="6" t="s">
        <v>114</v>
      </c>
      <c r="B85" s="6" t="s">
        <v>115</v>
      </c>
      <c r="C85" s="8">
        <v>285.7</v>
      </c>
      <c r="D85" s="8">
        <v>259.89999999999998</v>
      </c>
      <c r="E85" s="8">
        <v>167.2</v>
      </c>
      <c r="F85" s="8">
        <v>400.7</v>
      </c>
      <c r="G85" s="8">
        <v>364.4</v>
      </c>
      <c r="H85" s="8">
        <v>282</v>
      </c>
      <c r="I85" s="8">
        <v>250.9</v>
      </c>
      <c r="J85" s="8">
        <v>210.6</v>
      </c>
      <c r="K85" s="8">
        <v>222.2</v>
      </c>
      <c r="L85" s="8">
        <v>187.5</v>
      </c>
      <c r="M85" s="8">
        <v>160.5</v>
      </c>
      <c r="N85" s="8">
        <v>161.5</v>
      </c>
      <c r="O85" s="28">
        <f t="shared" si="1"/>
        <v>2953.1</v>
      </c>
    </row>
    <row r="86" spans="1:15" ht="15" customHeight="1" x14ac:dyDescent="0.3">
      <c r="A86" s="6" t="s">
        <v>117</v>
      </c>
      <c r="B86" s="6" t="s">
        <v>65</v>
      </c>
      <c r="C86" s="8">
        <v>272.5</v>
      </c>
      <c r="D86" s="8">
        <v>233.6</v>
      </c>
      <c r="E86" s="8">
        <v>241.1</v>
      </c>
      <c r="F86" s="8">
        <v>273.8</v>
      </c>
      <c r="G86" s="8">
        <v>232.1</v>
      </c>
      <c r="H86" s="8">
        <v>275.10000000000002</v>
      </c>
      <c r="I86" s="8">
        <v>251.6</v>
      </c>
      <c r="J86" s="8">
        <v>239.8</v>
      </c>
      <c r="K86" s="8">
        <v>256.7</v>
      </c>
      <c r="L86" s="8">
        <v>211.2</v>
      </c>
      <c r="M86" s="8">
        <v>226</v>
      </c>
      <c r="N86" s="8">
        <v>214.5</v>
      </c>
      <c r="O86" s="28">
        <f t="shared" si="1"/>
        <v>2927.9999999999995</v>
      </c>
    </row>
    <row r="87" spans="1:15" ht="15" customHeight="1" x14ac:dyDescent="0.3">
      <c r="A87" s="6" t="s">
        <v>460</v>
      </c>
      <c r="B87" s="6" t="s">
        <v>461</v>
      </c>
      <c r="C87" s="8"/>
      <c r="D87" s="8"/>
      <c r="E87" s="8"/>
      <c r="F87" s="8">
        <v>458.3</v>
      </c>
      <c r="G87" s="8">
        <v>473.1</v>
      </c>
      <c r="H87" s="8">
        <v>305.7</v>
      </c>
      <c r="I87" s="8">
        <v>181.3</v>
      </c>
      <c r="J87" s="8">
        <v>462.8</v>
      </c>
      <c r="K87" s="8">
        <v>313.7</v>
      </c>
      <c r="L87" s="8">
        <v>275.89999999999998</v>
      </c>
      <c r="M87" s="8">
        <v>178.1</v>
      </c>
      <c r="N87" s="8">
        <v>254.7</v>
      </c>
      <c r="O87" s="28">
        <f t="shared" si="1"/>
        <v>2903.6</v>
      </c>
    </row>
    <row r="88" spans="1:15" ht="15" customHeight="1" x14ac:dyDescent="0.3">
      <c r="A88" s="6" t="s">
        <v>118</v>
      </c>
      <c r="B88" s="6" t="s">
        <v>100</v>
      </c>
      <c r="C88" s="8">
        <v>271.39999999999998</v>
      </c>
      <c r="D88" s="8">
        <v>238.5</v>
      </c>
      <c r="E88" s="8">
        <v>256.7</v>
      </c>
      <c r="F88" s="8">
        <v>247.2</v>
      </c>
      <c r="G88" s="8">
        <v>261</v>
      </c>
      <c r="H88" s="8">
        <v>259.7</v>
      </c>
      <c r="I88" s="8">
        <v>251.6</v>
      </c>
      <c r="J88" s="8">
        <v>250.5</v>
      </c>
      <c r="K88" s="8">
        <v>229.2</v>
      </c>
      <c r="L88" s="8">
        <v>219.2</v>
      </c>
      <c r="M88" s="8">
        <v>198.2</v>
      </c>
      <c r="N88" s="8">
        <v>213.4</v>
      </c>
      <c r="O88" s="28">
        <f t="shared" si="1"/>
        <v>2896.5999999999995</v>
      </c>
    </row>
    <row r="89" spans="1:15" ht="15" customHeight="1" x14ac:dyDescent="0.3">
      <c r="A89" s="6" t="s">
        <v>119</v>
      </c>
      <c r="B89" s="6" t="s">
        <v>120</v>
      </c>
      <c r="C89" s="8">
        <v>302.3</v>
      </c>
      <c r="D89" s="8">
        <v>266.39999999999998</v>
      </c>
      <c r="E89" s="8">
        <v>293.3</v>
      </c>
      <c r="F89" s="8">
        <v>220.1</v>
      </c>
      <c r="G89" s="8">
        <v>191.2</v>
      </c>
      <c r="H89" s="8">
        <v>181.2</v>
      </c>
      <c r="I89" s="8">
        <v>256.89999999999998</v>
      </c>
      <c r="J89" s="8">
        <v>277.10000000000002</v>
      </c>
      <c r="K89" s="8">
        <v>259</v>
      </c>
      <c r="L89" s="8">
        <v>228.6</v>
      </c>
      <c r="M89" s="8">
        <v>192</v>
      </c>
      <c r="N89" s="8">
        <v>196.7</v>
      </c>
      <c r="O89" s="28">
        <f t="shared" si="1"/>
        <v>2864.7999999999997</v>
      </c>
    </row>
    <row r="90" spans="1:15" ht="15" customHeight="1" x14ac:dyDescent="0.3">
      <c r="A90" s="6" t="s">
        <v>122</v>
      </c>
      <c r="B90" s="6" t="s">
        <v>123</v>
      </c>
      <c r="C90" s="8">
        <v>442.1</v>
      </c>
      <c r="D90" s="8">
        <v>267.5</v>
      </c>
      <c r="E90" s="8">
        <v>300.60000000000002</v>
      </c>
      <c r="F90" s="8">
        <v>283.5</v>
      </c>
      <c r="G90" s="8">
        <v>295.60000000000002</v>
      </c>
      <c r="H90" s="8">
        <v>174.6</v>
      </c>
      <c r="I90" s="8">
        <v>170.1</v>
      </c>
      <c r="J90" s="8">
        <v>163.69999999999999</v>
      </c>
      <c r="K90" s="8">
        <v>147.4</v>
      </c>
      <c r="L90" s="8">
        <v>159.5</v>
      </c>
      <c r="M90" s="8">
        <v>143.80000000000001</v>
      </c>
      <c r="N90" s="8">
        <v>141.80000000000001</v>
      </c>
      <c r="O90" s="28">
        <f t="shared" si="1"/>
        <v>2690.2000000000003</v>
      </c>
    </row>
    <row r="91" spans="1:15" ht="15" customHeight="1" x14ac:dyDescent="0.3">
      <c r="A91" s="6" t="s">
        <v>396</v>
      </c>
      <c r="B91" s="6" t="s">
        <v>397</v>
      </c>
      <c r="C91" s="8">
        <v>422.1</v>
      </c>
      <c r="D91" s="8"/>
      <c r="E91" s="8"/>
      <c r="F91" s="8">
        <v>74</v>
      </c>
      <c r="G91" s="8">
        <v>447.1</v>
      </c>
      <c r="H91" s="8">
        <v>339.6</v>
      </c>
      <c r="I91" s="8">
        <v>256.8</v>
      </c>
      <c r="J91" s="8">
        <v>210.2</v>
      </c>
      <c r="K91" s="8">
        <v>226.4</v>
      </c>
      <c r="L91" s="8">
        <v>188.1</v>
      </c>
      <c r="M91" s="8">
        <v>203</v>
      </c>
      <c r="N91" s="8">
        <v>307.39999999999998</v>
      </c>
      <c r="O91" s="28">
        <f t="shared" si="1"/>
        <v>2674.7000000000003</v>
      </c>
    </row>
    <row r="92" spans="1:15" ht="15" customHeight="1" x14ac:dyDescent="0.3">
      <c r="A92" s="6" t="s">
        <v>125</v>
      </c>
      <c r="B92" s="6" t="s">
        <v>77</v>
      </c>
      <c r="C92" s="8">
        <v>276.10000000000002</v>
      </c>
      <c r="D92" s="8">
        <v>240.5</v>
      </c>
      <c r="E92" s="8">
        <v>217.5</v>
      </c>
      <c r="F92" s="8">
        <v>203.8</v>
      </c>
      <c r="G92" s="8">
        <v>240</v>
      </c>
      <c r="H92" s="8">
        <v>258.3</v>
      </c>
      <c r="I92" s="8">
        <v>260.60000000000002</v>
      </c>
      <c r="J92" s="8">
        <v>273</v>
      </c>
      <c r="K92" s="8">
        <v>226.1</v>
      </c>
      <c r="L92" s="8">
        <v>197.7</v>
      </c>
      <c r="M92" s="8">
        <v>161.9</v>
      </c>
      <c r="N92" s="8">
        <v>104.9</v>
      </c>
      <c r="O92" s="28">
        <f t="shared" si="1"/>
        <v>2660.4</v>
      </c>
    </row>
    <row r="93" spans="1:15" ht="15" customHeight="1" x14ac:dyDescent="0.3">
      <c r="A93" s="6" t="s">
        <v>126</v>
      </c>
      <c r="B93" s="6" t="s">
        <v>89</v>
      </c>
      <c r="C93" s="8">
        <v>288.2</v>
      </c>
      <c r="D93" s="8">
        <v>112.6</v>
      </c>
      <c r="E93" s="8">
        <v>200.5</v>
      </c>
      <c r="F93" s="8">
        <v>305.5</v>
      </c>
      <c r="G93" s="8">
        <v>255.1</v>
      </c>
      <c r="H93" s="8">
        <v>247.2</v>
      </c>
      <c r="I93" s="8">
        <v>238.2</v>
      </c>
      <c r="J93" s="8">
        <v>217.5</v>
      </c>
      <c r="K93" s="8">
        <v>289.60000000000002</v>
      </c>
      <c r="L93" s="8">
        <v>178.4</v>
      </c>
      <c r="M93" s="8">
        <v>117.8</v>
      </c>
      <c r="N93" s="8">
        <v>206.3</v>
      </c>
      <c r="O93" s="28">
        <f t="shared" si="1"/>
        <v>2656.9000000000005</v>
      </c>
    </row>
    <row r="94" spans="1:15" ht="15" customHeight="1" x14ac:dyDescent="0.3">
      <c r="A94" s="6" t="s">
        <v>127</v>
      </c>
      <c r="B94" s="6" t="s">
        <v>109</v>
      </c>
      <c r="C94" s="8">
        <v>347.6</v>
      </c>
      <c r="D94" s="8">
        <v>254</v>
      </c>
      <c r="E94" s="8">
        <v>277.10000000000002</v>
      </c>
      <c r="F94" s="8">
        <v>250.6</v>
      </c>
      <c r="G94" s="8">
        <v>256.39999999999998</v>
      </c>
      <c r="H94" s="8">
        <v>242.4</v>
      </c>
      <c r="I94" s="8">
        <v>242.9</v>
      </c>
      <c r="J94" s="8">
        <v>229</v>
      </c>
      <c r="K94" s="8">
        <v>197.9</v>
      </c>
      <c r="L94" s="8">
        <v>144.4</v>
      </c>
      <c r="M94" s="8">
        <v>100.2</v>
      </c>
      <c r="N94" s="8">
        <v>93.6</v>
      </c>
      <c r="O94" s="28">
        <f t="shared" si="1"/>
        <v>2636.1</v>
      </c>
    </row>
    <row r="95" spans="1:15" ht="15" customHeight="1" x14ac:dyDescent="0.3">
      <c r="A95" s="6" t="s">
        <v>370</v>
      </c>
      <c r="B95" s="6" t="s">
        <v>371</v>
      </c>
      <c r="C95" s="8"/>
      <c r="D95" s="8"/>
      <c r="E95" s="8">
        <v>148.19999999999999</v>
      </c>
      <c r="F95" s="8">
        <v>497</v>
      </c>
      <c r="G95" s="8">
        <v>261.5</v>
      </c>
      <c r="H95" s="8">
        <v>329.1</v>
      </c>
      <c r="I95" s="8">
        <v>269.60000000000002</v>
      </c>
      <c r="J95" s="8">
        <v>175.8</v>
      </c>
      <c r="K95" s="8">
        <v>228</v>
      </c>
      <c r="L95" s="8">
        <v>208.4</v>
      </c>
      <c r="M95" s="8">
        <v>201.7</v>
      </c>
      <c r="N95" s="8">
        <v>188.6</v>
      </c>
      <c r="O95" s="28">
        <f t="shared" si="1"/>
        <v>2507.8999999999996</v>
      </c>
    </row>
    <row r="96" spans="1:15" ht="15" customHeight="1" x14ac:dyDescent="0.3">
      <c r="A96" s="6" t="s">
        <v>128</v>
      </c>
      <c r="B96" s="6" t="s">
        <v>65</v>
      </c>
      <c r="C96" s="8">
        <v>202.8</v>
      </c>
      <c r="D96" s="8">
        <v>169.2</v>
      </c>
      <c r="E96" s="8">
        <v>226.1</v>
      </c>
      <c r="F96" s="8">
        <v>251.4</v>
      </c>
      <c r="G96" s="8">
        <v>199.9</v>
      </c>
      <c r="H96" s="8">
        <v>178.9</v>
      </c>
      <c r="I96" s="8">
        <v>200.9</v>
      </c>
      <c r="J96" s="8">
        <v>172.1</v>
      </c>
      <c r="K96" s="8">
        <v>173</v>
      </c>
      <c r="L96" s="8">
        <v>272.10000000000002</v>
      </c>
      <c r="M96" s="8">
        <v>169.3</v>
      </c>
      <c r="N96" s="8">
        <v>285.89999999999998</v>
      </c>
      <c r="O96" s="28">
        <f t="shared" si="1"/>
        <v>2501.6000000000004</v>
      </c>
    </row>
    <row r="97" spans="1:15" ht="15" customHeight="1" x14ac:dyDescent="0.3">
      <c r="A97" s="6" t="s">
        <v>463</v>
      </c>
      <c r="B97" s="6" t="s">
        <v>454</v>
      </c>
      <c r="C97" s="8"/>
      <c r="D97" s="8"/>
      <c r="E97" s="8"/>
      <c r="F97" s="8"/>
      <c r="G97" s="8"/>
      <c r="H97" s="8"/>
      <c r="I97" s="8"/>
      <c r="J97" s="8">
        <v>35.299999999999997</v>
      </c>
      <c r="K97" s="8">
        <v>843.3</v>
      </c>
      <c r="L97" s="8">
        <v>694.6</v>
      </c>
      <c r="M97" s="8">
        <v>470.5</v>
      </c>
      <c r="N97" s="8">
        <v>428.3</v>
      </c>
      <c r="O97" s="28">
        <f t="shared" si="1"/>
        <v>2472</v>
      </c>
    </row>
    <row r="98" spans="1:15" ht="15" customHeight="1" x14ac:dyDescent="0.3">
      <c r="A98" s="6" t="s">
        <v>464</v>
      </c>
      <c r="B98" s="6" t="s">
        <v>454</v>
      </c>
      <c r="C98" s="8"/>
      <c r="D98" s="8"/>
      <c r="E98" s="8"/>
      <c r="F98" s="8"/>
      <c r="G98" s="8"/>
      <c r="H98" s="8"/>
      <c r="I98" s="8"/>
      <c r="J98" s="8">
        <v>88.6</v>
      </c>
      <c r="K98" s="8">
        <v>612.20000000000005</v>
      </c>
      <c r="L98" s="8">
        <v>559.5</v>
      </c>
      <c r="M98" s="8">
        <v>601.1</v>
      </c>
      <c r="N98" s="8">
        <v>592</v>
      </c>
      <c r="O98" s="28">
        <f t="shared" si="1"/>
        <v>2453.4</v>
      </c>
    </row>
    <row r="99" spans="1:15" ht="15" customHeight="1" x14ac:dyDescent="0.3">
      <c r="A99" s="6" t="s">
        <v>465</v>
      </c>
      <c r="B99" s="6" t="s">
        <v>62</v>
      </c>
      <c r="C99" s="8"/>
      <c r="D99" s="8"/>
      <c r="E99" s="8"/>
      <c r="F99" s="8"/>
      <c r="G99" s="8"/>
      <c r="H99" s="8"/>
      <c r="I99" s="8"/>
      <c r="J99" s="8"/>
      <c r="K99" s="8"/>
      <c r="L99" s="8">
        <v>443.2</v>
      </c>
      <c r="M99" s="8">
        <v>1024.8</v>
      </c>
      <c r="N99" s="8">
        <v>963.5</v>
      </c>
      <c r="O99" s="28">
        <f t="shared" si="1"/>
        <v>2431.5</v>
      </c>
    </row>
    <row r="100" spans="1:15" ht="15" customHeight="1" x14ac:dyDescent="0.3">
      <c r="A100" s="6" t="s">
        <v>129</v>
      </c>
      <c r="B100" s="6" t="s">
        <v>59</v>
      </c>
      <c r="C100" s="8">
        <v>593.29999999999995</v>
      </c>
      <c r="D100" s="8">
        <v>318.89999999999998</v>
      </c>
      <c r="E100" s="8">
        <v>179.7</v>
      </c>
      <c r="F100" s="8">
        <v>195</v>
      </c>
      <c r="G100" s="8">
        <v>170.9</v>
      </c>
      <c r="H100" s="8">
        <v>145.4</v>
      </c>
      <c r="I100" s="8">
        <v>150.1</v>
      </c>
      <c r="J100" s="8">
        <v>155</v>
      </c>
      <c r="K100" s="8">
        <v>131.80000000000001</v>
      </c>
      <c r="L100" s="8">
        <v>126.2</v>
      </c>
      <c r="M100" s="8">
        <v>111.8</v>
      </c>
      <c r="N100" s="8">
        <v>139.5</v>
      </c>
      <c r="O100" s="28">
        <f t="shared" si="1"/>
        <v>2417.6</v>
      </c>
    </row>
    <row r="101" spans="1:15" ht="15" customHeight="1" x14ac:dyDescent="0.3">
      <c r="A101" s="6" t="s">
        <v>130</v>
      </c>
      <c r="B101" s="6" t="s">
        <v>85</v>
      </c>
      <c r="C101" s="8">
        <v>159.5</v>
      </c>
      <c r="D101" s="8">
        <v>271</v>
      </c>
      <c r="E101" s="8">
        <v>302.10000000000002</v>
      </c>
      <c r="F101" s="8">
        <v>125.4</v>
      </c>
      <c r="G101" s="8">
        <v>174.2</v>
      </c>
      <c r="H101" s="8">
        <v>154.80000000000001</v>
      </c>
      <c r="I101" s="8">
        <v>155</v>
      </c>
      <c r="J101" s="8">
        <v>176.9</v>
      </c>
      <c r="K101" s="8">
        <v>178.3</v>
      </c>
      <c r="L101" s="8">
        <v>185.3</v>
      </c>
      <c r="M101" s="8">
        <v>197.8</v>
      </c>
      <c r="N101" s="8">
        <v>313.60000000000002</v>
      </c>
      <c r="O101" s="28">
        <f t="shared" si="1"/>
        <v>2393.9</v>
      </c>
    </row>
    <row r="102" spans="1:15" ht="15" customHeight="1" x14ac:dyDescent="0.3">
      <c r="A102" s="6" t="s">
        <v>466</v>
      </c>
      <c r="B102" s="6" t="s">
        <v>62</v>
      </c>
      <c r="C102" s="8"/>
      <c r="D102" s="8"/>
      <c r="E102" s="8"/>
      <c r="F102" s="8"/>
      <c r="G102" s="8"/>
      <c r="H102" s="8"/>
      <c r="I102" s="8"/>
      <c r="J102" s="8"/>
      <c r="K102" s="8"/>
      <c r="L102" s="8">
        <v>668.8</v>
      </c>
      <c r="M102" s="8">
        <v>907.7</v>
      </c>
      <c r="N102" s="8">
        <v>800.5</v>
      </c>
      <c r="O102" s="28">
        <f t="shared" si="1"/>
        <v>2377</v>
      </c>
    </row>
    <row r="103" spans="1:15" ht="15" customHeight="1" x14ac:dyDescent="0.3">
      <c r="A103" s="6" t="s">
        <v>131</v>
      </c>
      <c r="B103" s="6" t="s">
        <v>132</v>
      </c>
      <c r="C103" s="8">
        <v>354.7</v>
      </c>
      <c r="D103" s="8">
        <v>337.5</v>
      </c>
      <c r="E103" s="8">
        <v>302</v>
      </c>
      <c r="F103" s="8">
        <v>211.1</v>
      </c>
      <c r="G103" s="8">
        <v>152.69999999999999</v>
      </c>
      <c r="H103" s="8">
        <v>51.8</v>
      </c>
      <c r="I103" s="8">
        <v>85.3</v>
      </c>
      <c r="J103" s="8">
        <v>195.9</v>
      </c>
      <c r="K103" s="8">
        <v>161.6</v>
      </c>
      <c r="L103" s="8">
        <v>164.2</v>
      </c>
      <c r="M103" s="8">
        <v>141.69999999999999</v>
      </c>
      <c r="N103" s="8">
        <v>156</v>
      </c>
      <c r="O103" s="28">
        <f t="shared" si="1"/>
        <v>2314.5</v>
      </c>
    </row>
    <row r="104" spans="1:15" ht="15" customHeight="1" x14ac:dyDescent="0.3">
      <c r="A104" s="6" t="s">
        <v>134</v>
      </c>
      <c r="B104" s="6" t="s">
        <v>135</v>
      </c>
      <c r="C104" s="8">
        <v>234.7</v>
      </c>
      <c r="D104" s="8">
        <v>227.6</v>
      </c>
      <c r="E104" s="8">
        <v>189</v>
      </c>
      <c r="F104" s="8">
        <v>176.4</v>
      </c>
      <c r="G104" s="8">
        <v>229.3</v>
      </c>
      <c r="H104" s="8">
        <v>237.9</v>
      </c>
      <c r="I104" s="8">
        <v>241.7</v>
      </c>
      <c r="J104" s="8">
        <v>168.8</v>
      </c>
      <c r="K104" s="8">
        <v>138.1</v>
      </c>
      <c r="L104" s="8">
        <v>143.19999999999999</v>
      </c>
      <c r="M104" s="8">
        <v>131.69999999999999</v>
      </c>
      <c r="N104" s="8">
        <v>174.6</v>
      </c>
      <c r="O104" s="28">
        <f t="shared" si="1"/>
        <v>2293</v>
      </c>
    </row>
    <row r="105" spans="1:15" ht="15" customHeight="1" x14ac:dyDescent="0.3">
      <c r="A105" s="6" t="s">
        <v>137</v>
      </c>
      <c r="B105" s="6" t="s">
        <v>138</v>
      </c>
      <c r="C105" s="8">
        <v>236.7</v>
      </c>
      <c r="D105" s="8">
        <v>199.8</v>
      </c>
      <c r="E105" s="8">
        <v>217.2</v>
      </c>
      <c r="F105" s="8">
        <v>179</v>
      </c>
      <c r="G105" s="8">
        <v>204.4</v>
      </c>
      <c r="H105" s="8">
        <v>151.80000000000001</v>
      </c>
      <c r="I105" s="8">
        <v>157.6</v>
      </c>
      <c r="J105" s="8">
        <v>147.4</v>
      </c>
      <c r="K105" s="8">
        <v>184.9</v>
      </c>
      <c r="L105" s="8">
        <v>236.6</v>
      </c>
      <c r="M105" s="8">
        <v>196.8</v>
      </c>
      <c r="N105" s="8">
        <v>151.30000000000001</v>
      </c>
      <c r="O105" s="28">
        <f t="shared" si="1"/>
        <v>2263.5000000000005</v>
      </c>
    </row>
    <row r="106" spans="1:15" ht="15" customHeight="1" x14ac:dyDescent="0.3">
      <c r="A106" s="6" t="s">
        <v>140</v>
      </c>
      <c r="B106" s="6" t="s">
        <v>109</v>
      </c>
      <c r="C106" s="8">
        <v>227.4</v>
      </c>
      <c r="D106" s="8">
        <v>198.7</v>
      </c>
      <c r="E106" s="8">
        <v>210.4</v>
      </c>
      <c r="F106" s="8">
        <v>198</v>
      </c>
      <c r="G106" s="8">
        <v>218.8</v>
      </c>
      <c r="H106" s="8">
        <v>175.6</v>
      </c>
      <c r="I106" s="8">
        <v>170.6</v>
      </c>
      <c r="J106" s="8">
        <v>173.1</v>
      </c>
      <c r="K106" s="8">
        <v>181.2</v>
      </c>
      <c r="L106" s="8">
        <v>133.9</v>
      </c>
      <c r="M106" s="8">
        <v>157.5</v>
      </c>
      <c r="N106" s="8">
        <v>166.1</v>
      </c>
      <c r="O106" s="28">
        <f t="shared" si="1"/>
        <v>2211.2999999999997</v>
      </c>
    </row>
    <row r="107" spans="1:15" ht="15" customHeight="1" x14ac:dyDescent="0.3">
      <c r="A107" s="6" t="s">
        <v>141</v>
      </c>
      <c r="B107" s="6" t="s">
        <v>115</v>
      </c>
      <c r="C107" s="8">
        <v>158.4</v>
      </c>
      <c r="D107" s="8">
        <v>145.80000000000001</v>
      </c>
      <c r="E107" s="8">
        <v>149.6</v>
      </c>
      <c r="F107" s="8">
        <v>73.099999999999994</v>
      </c>
      <c r="G107" s="8">
        <v>114.4</v>
      </c>
      <c r="H107" s="8">
        <v>109.4</v>
      </c>
      <c r="I107" s="8">
        <v>122</v>
      </c>
      <c r="J107" s="8">
        <v>250.8</v>
      </c>
      <c r="K107" s="8">
        <v>254</v>
      </c>
      <c r="L107" s="8">
        <v>268.5</v>
      </c>
      <c r="M107" s="8">
        <v>252.1</v>
      </c>
      <c r="N107" s="8">
        <v>254</v>
      </c>
      <c r="O107" s="28">
        <f t="shared" si="1"/>
        <v>2152.1</v>
      </c>
    </row>
    <row r="108" spans="1:15" ht="15" customHeight="1" x14ac:dyDescent="0.3">
      <c r="A108" s="6" t="s">
        <v>142</v>
      </c>
      <c r="B108" s="6" t="s">
        <v>68</v>
      </c>
      <c r="C108" s="8">
        <v>276.60000000000002</v>
      </c>
      <c r="D108" s="8">
        <v>243.6</v>
      </c>
      <c r="E108" s="8">
        <v>220.6</v>
      </c>
      <c r="F108" s="8">
        <v>198.9</v>
      </c>
      <c r="G108" s="8">
        <v>196.7</v>
      </c>
      <c r="H108" s="8">
        <v>101.5</v>
      </c>
      <c r="I108" s="8">
        <v>107</v>
      </c>
      <c r="J108" s="8">
        <v>115.9</v>
      </c>
      <c r="K108" s="8">
        <v>144.6</v>
      </c>
      <c r="L108" s="8">
        <v>140.69999999999999</v>
      </c>
      <c r="M108" s="8">
        <v>145.30000000000001</v>
      </c>
      <c r="N108" s="8">
        <v>172.2</v>
      </c>
      <c r="O108" s="28">
        <f t="shared" si="1"/>
        <v>2063.6</v>
      </c>
    </row>
    <row r="109" spans="1:15" ht="15" customHeight="1" x14ac:dyDescent="0.3">
      <c r="A109" s="6" t="s">
        <v>143</v>
      </c>
      <c r="B109" s="6" t="s">
        <v>120</v>
      </c>
      <c r="C109" s="8">
        <v>236.5</v>
      </c>
      <c r="D109" s="8">
        <v>205</v>
      </c>
      <c r="E109" s="8">
        <v>228.6</v>
      </c>
      <c r="F109" s="8">
        <v>221</v>
      </c>
      <c r="G109" s="8">
        <v>207.9</v>
      </c>
      <c r="H109" s="8">
        <v>198.9</v>
      </c>
      <c r="I109" s="8">
        <v>181.8</v>
      </c>
      <c r="J109" s="8">
        <v>184.7</v>
      </c>
      <c r="K109" s="8">
        <v>125.5</v>
      </c>
      <c r="L109" s="8">
        <v>38.5</v>
      </c>
      <c r="M109" s="8">
        <v>29.4</v>
      </c>
      <c r="N109" s="8">
        <v>184.6</v>
      </c>
      <c r="O109" s="28">
        <f t="shared" si="1"/>
        <v>2042.4</v>
      </c>
    </row>
    <row r="110" spans="1:15" ht="15" customHeight="1" x14ac:dyDescent="0.3">
      <c r="A110" s="6" t="s">
        <v>144</v>
      </c>
      <c r="B110" s="6" t="s">
        <v>55</v>
      </c>
      <c r="C110" s="8">
        <v>201.9</v>
      </c>
      <c r="D110" s="8">
        <v>289.2</v>
      </c>
      <c r="E110" s="8">
        <v>25.7</v>
      </c>
      <c r="F110" s="8">
        <v>213</v>
      </c>
      <c r="G110" s="8">
        <v>30.6</v>
      </c>
      <c r="H110" s="8">
        <v>68</v>
      </c>
      <c r="I110" s="8">
        <v>56.4</v>
      </c>
      <c r="J110" s="8">
        <v>45.5</v>
      </c>
      <c r="K110" s="8">
        <v>42.2</v>
      </c>
      <c r="L110" s="8">
        <v>411.1</v>
      </c>
      <c r="M110" s="8">
        <v>376.2</v>
      </c>
      <c r="N110" s="8">
        <v>269.39999999999998</v>
      </c>
      <c r="O110" s="28">
        <f t="shared" si="1"/>
        <v>2029.2000000000003</v>
      </c>
    </row>
    <row r="111" spans="1:15" ht="15" customHeight="1" x14ac:dyDescent="0.3">
      <c r="A111" s="6" t="s">
        <v>145</v>
      </c>
      <c r="B111" s="6" t="s">
        <v>146</v>
      </c>
      <c r="C111" s="8">
        <v>185.4</v>
      </c>
      <c r="D111" s="8">
        <v>170.8</v>
      </c>
      <c r="E111" s="8">
        <v>234.1</v>
      </c>
      <c r="F111" s="8">
        <v>186.9</v>
      </c>
      <c r="G111" s="8">
        <v>196.1</v>
      </c>
      <c r="H111" s="8">
        <v>56.4</v>
      </c>
      <c r="I111" s="8">
        <v>93.9</v>
      </c>
      <c r="J111" s="8">
        <v>182.3</v>
      </c>
      <c r="K111" s="8">
        <v>155.4</v>
      </c>
      <c r="L111" s="8">
        <v>135</v>
      </c>
      <c r="M111" s="8">
        <v>206.4</v>
      </c>
      <c r="N111" s="8">
        <v>218.3</v>
      </c>
      <c r="O111" s="28">
        <f t="shared" si="1"/>
        <v>2021.0000000000002</v>
      </c>
    </row>
    <row r="112" spans="1:15" ht="15" customHeight="1" x14ac:dyDescent="0.3">
      <c r="A112" s="6" t="s">
        <v>148</v>
      </c>
      <c r="B112" s="6" t="s">
        <v>85</v>
      </c>
      <c r="C112" s="8">
        <v>148.19999999999999</v>
      </c>
      <c r="D112" s="8">
        <v>134</v>
      </c>
      <c r="E112" s="8">
        <v>139.4</v>
      </c>
      <c r="F112" s="8">
        <v>139.9</v>
      </c>
      <c r="G112" s="8">
        <v>161.5</v>
      </c>
      <c r="H112" s="8">
        <v>183</v>
      </c>
      <c r="I112" s="8">
        <v>178.4</v>
      </c>
      <c r="J112" s="8">
        <v>198.2</v>
      </c>
      <c r="K112" s="8">
        <v>184.8</v>
      </c>
      <c r="L112" s="8">
        <v>191</v>
      </c>
      <c r="M112" s="8">
        <v>176.2</v>
      </c>
      <c r="N112" s="8">
        <v>183.4</v>
      </c>
      <c r="O112" s="28">
        <f t="shared" si="1"/>
        <v>2018.0000000000002</v>
      </c>
    </row>
    <row r="113" spans="1:15" ht="15" customHeight="1" x14ac:dyDescent="0.3">
      <c r="A113" s="6" t="s">
        <v>401</v>
      </c>
      <c r="B113" s="6" t="s">
        <v>362</v>
      </c>
      <c r="C113" s="8"/>
      <c r="D113" s="8"/>
      <c r="E113" s="8"/>
      <c r="F113" s="8">
        <v>184.8</v>
      </c>
      <c r="G113" s="8">
        <v>380.2</v>
      </c>
      <c r="H113" s="8">
        <v>137.30000000000001</v>
      </c>
      <c r="I113" s="8">
        <v>103.3</v>
      </c>
      <c r="J113" s="8"/>
      <c r="K113" s="8"/>
      <c r="L113" s="8">
        <v>356.9</v>
      </c>
      <c r="M113" s="8">
        <v>429.9</v>
      </c>
      <c r="N113" s="8">
        <v>391.3</v>
      </c>
      <c r="O113" s="28">
        <f t="shared" si="1"/>
        <v>1983.7</v>
      </c>
    </row>
    <row r="114" spans="1:15" ht="15" customHeight="1" x14ac:dyDescent="0.3">
      <c r="A114" s="6" t="s">
        <v>149</v>
      </c>
      <c r="B114" s="6" t="s">
        <v>150</v>
      </c>
      <c r="C114" s="8">
        <v>138</v>
      </c>
      <c r="D114" s="8">
        <v>48.3</v>
      </c>
      <c r="E114" s="8">
        <v>201.3</v>
      </c>
      <c r="F114" s="8">
        <v>189</v>
      </c>
      <c r="G114" s="8">
        <v>193.5</v>
      </c>
      <c r="H114" s="8">
        <v>165.9</v>
      </c>
      <c r="I114" s="8">
        <v>183.3</v>
      </c>
      <c r="J114" s="8">
        <v>188.9</v>
      </c>
      <c r="K114" s="8">
        <v>164.1</v>
      </c>
      <c r="L114" s="8">
        <v>154.80000000000001</v>
      </c>
      <c r="M114" s="8">
        <v>158.30000000000001</v>
      </c>
      <c r="N114" s="8">
        <v>160</v>
      </c>
      <c r="O114" s="28">
        <f t="shared" si="1"/>
        <v>1945.3999999999999</v>
      </c>
    </row>
    <row r="115" spans="1:15" ht="15" customHeight="1" x14ac:dyDescent="0.3">
      <c r="A115" s="6" t="s">
        <v>152</v>
      </c>
      <c r="B115" s="6" t="s">
        <v>153</v>
      </c>
      <c r="C115" s="8">
        <v>246.5</v>
      </c>
      <c r="D115" s="8">
        <v>163.30000000000001</v>
      </c>
      <c r="E115" s="8">
        <v>232.9</v>
      </c>
      <c r="F115" s="8">
        <v>128.6</v>
      </c>
      <c r="G115" s="8">
        <v>172.8</v>
      </c>
      <c r="H115" s="8">
        <v>134.6</v>
      </c>
      <c r="I115" s="8">
        <v>127.9</v>
      </c>
      <c r="J115" s="8">
        <v>69</v>
      </c>
      <c r="K115" s="8">
        <v>193.2</v>
      </c>
      <c r="L115" s="8">
        <v>218.7</v>
      </c>
      <c r="M115" s="8">
        <v>162</v>
      </c>
      <c r="N115" s="8">
        <v>89.6</v>
      </c>
      <c r="O115" s="28">
        <f t="shared" si="1"/>
        <v>1939.1000000000001</v>
      </c>
    </row>
    <row r="116" spans="1:15" ht="15" customHeight="1" x14ac:dyDescent="0.3">
      <c r="A116" s="6" t="s">
        <v>155</v>
      </c>
      <c r="B116" s="6" t="s">
        <v>156</v>
      </c>
      <c r="C116" s="8">
        <v>196.4</v>
      </c>
      <c r="D116" s="8">
        <v>182.1</v>
      </c>
      <c r="E116" s="8">
        <v>194.4</v>
      </c>
      <c r="F116" s="8">
        <v>162.19999999999999</v>
      </c>
      <c r="G116" s="8">
        <v>166.4</v>
      </c>
      <c r="H116" s="8">
        <v>179.3</v>
      </c>
      <c r="I116" s="8">
        <v>146.9</v>
      </c>
      <c r="J116" s="8">
        <v>116.7</v>
      </c>
      <c r="K116" s="8">
        <v>126.9</v>
      </c>
      <c r="L116" s="8">
        <v>162.69999999999999</v>
      </c>
      <c r="M116" s="8">
        <v>153.1</v>
      </c>
      <c r="N116" s="8">
        <v>150.9</v>
      </c>
      <c r="O116" s="28">
        <f t="shared" si="1"/>
        <v>1938.0000000000002</v>
      </c>
    </row>
    <row r="117" spans="1:15" ht="15" customHeight="1" x14ac:dyDescent="0.3">
      <c r="A117" s="6" t="s">
        <v>158</v>
      </c>
      <c r="B117" s="6" t="s">
        <v>159</v>
      </c>
      <c r="C117" s="8">
        <v>163.1</v>
      </c>
      <c r="D117" s="8">
        <v>155.6</v>
      </c>
      <c r="E117" s="8">
        <v>179</v>
      </c>
      <c r="F117" s="8">
        <v>161.6</v>
      </c>
      <c r="G117" s="8">
        <v>158.6</v>
      </c>
      <c r="H117" s="8">
        <v>147.30000000000001</v>
      </c>
      <c r="I117" s="8">
        <v>164.2</v>
      </c>
      <c r="J117" s="8">
        <v>146.9</v>
      </c>
      <c r="K117" s="8">
        <v>150.1</v>
      </c>
      <c r="L117" s="8">
        <v>170.4</v>
      </c>
      <c r="M117" s="8">
        <v>155</v>
      </c>
      <c r="N117" s="8">
        <v>166.5</v>
      </c>
      <c r="O117" s="28">
        <f t="shared" si="1"/>
        <v>1918.3000000000002</v>
      </c>
    </row>
    <row r="118" spans="1:15" ht="15" customHeight="1" x14ac:dyDescent="0.3">
      <c r="A118" s="6" t="s">
        <v>404</v>
      </c>
      <c r="B118" s="6" t="s">
        <v>392</v>
      </c>
      <c r="C118" s="8">
        <v>193.7</v>
      </c>
      <c r="D118" s="8">
        <v>166.6</v>
      </c>
      <c r="E118" s="8">
        <v>181.7</v>
      </c>
      <c r="F118" s="8">
        <v>170.7</v>
      </c>
      <c r="G118" s="8">
        <v>168.6</v>
      </c>
      <c r="H118" s="8">
        <v>174.1</v>
      </c>
      <c r="I118" s="8">
        <v>5</v>
      </c>
      <c r="J118" s="8">
        <v>178.9</v>
      </c>
      <c r="K118" s="8">
        <v>203</v>
      </c>
      <c r="L118" s="8">
        <v>180.1</v>
      </c>
      <c r="M118" s="8">
        <v>145.30000000000001</v>
      </c>
      <c r="N118" s="8">
        <v>143.6</v>
      </c>
      <c r="O118" s="28">
        <f t="shared" si="1"/>
        <v>1911.3</v>
      </c>
    </row>
    <row r="119" spans="1:15" ht="15" customHeight="1" x14ac:dyDescent="0.3">
      <c r="A119" s="6" t="s">
        <v>161</v>
      </c>
      <c r="B119" s="6" t="s">
        <v>120</v>
      </c>
      <c r="C119" s="8">
        <v>201</v>
      </c>
      <c r="D119" s="8">
        <v>185.6</v>
      </c>
      <c r="E119" s="8">
        <v>171.9</v>
      </c>
      <c r="F119" s="8">
        <v>144.1</v>
      </c>
      <c r="G119" s="8">
        <v>168.6</v>
      </c>
      <c r="H119" s="8">
        <v>163.30000000000001</v>
      </c>
      <c r="I119" s="8">
        <v>164.5</v>
      </c>
      <c r="J119" s="8">
        <v>160.69999999999999</v>
      </c>
      <c r="K119" s="8">
        <v>135.30000000000001</v>
      </c>
      <c r="L119" s="8">
        <v>137.1</v>
      </c>
      <c r="M119" s="8">
        <v>121.6</v>
      </c>
      <c r="N119" s="8">
        <v>107.3</v>
      </c>
      <c r="O119" s="28">
        <f t="shared" si="1"/>
        <v>1860.9999999999998</v>
      </c>
    </row>
    <row r="120" spans="1:15" ht="15" customHeight="1" x14ac:dyDescent="0.3">
      <c r="A120" s="6" t="s">
        <v>162</v>
      </c>
      <c r="B120" s="6" t="s">
        <v>163</v>
      </c>
      <c r="C120" s="8">
        <v>143.80000000000001</v>
      </c>
      <c r="D120" s="8">
        <v>117.6</v>
      </c>
      <c r="E120" s="8">
        <v>119.9</v>
      </c>
      <c r="F120" s="8">
        <v>130</v>
      </c>
      <c r="G120" s="8">
        <v>143.69999999999999</v>
      </c>
      <c r="H120" s="8">
        <v>143.19999999999999</v>
      </c>
      <c r="I120" s="8">
        <v>138.6</v>
      </c>
      <c r="J120" s="8">
        <v>275.7</v>
      </c>
      <c r="K120" s="8">
        <v>184.5</v>
      </c>
      <c r="L120" s="8">
        <v>153.6</v>
      </c>
      <c r="M120" s="8">
        <v>163.69999999999999</v>
      </c>
      <c r="N120" s="8">
        <v>141.69999999999999</v>
      </c>
      <c r="O120" s="28">
        <f t="shared" si="1"/>
        <v>1856</v>
      </c>
    </row>
    <row r="121" spans="1:15" ht="15" customHeight="1" x14ac:dyDescent="0.3">
      <c r="A121" s="6" t="s">
        <v>165</v>
      </c>
      <c r="B121" s="6" t="s">
        <v>89</v>
      </c>
      <c r="C121" s="8">
        <v>195.4</v>
      </c>
      <c r="D121" s="8">
        <v>164.3</v>
      </c>
      <c r="E121" s="8">
        <v>181.8</v>
      </c>
      <c r="F121" s="8">
        <v>166.1</v>
      </c>
      <c r="G121" s="8">
        <v>163.19999999999999</v>
      </c>
      <c r="H121" s="8">
        <v>155.80000000000001</v>
      </c>
      <c r="I121" s="8">
        <v>141.30000000000001</v>
      </c>
      <c r="J121" s="8">
        <v>125.7</v>
      </c>
      <c r="K121" s="8">
        <v>121.5</v>
      </c>
      <c r="L121" s="8">
        <v>116.9</v>
      </c>
      <c r="M121" s="8">
        <v>162.4</v>
      </c>
      <c r="N121" s="8">
        <v>145.69999999999999</v>
      </c>
      <c r="O121" s="28">
        <f t="shared" si="1"/>
        <v>1840.1000000000001</v>
      </c>
    </row>
    <row r="122" spans="1:15" ht="15" customHeight="1" x14ac:dyDescent="0.3">
      <c r="A122" s="6" t="s">
        <v>166</v>
      </c>
      <c r="B122" s="6" t="s">
        <v>153</v>
      </c>
      <c r="C122" s="8">
        <v>125.1</v>
      </c>
      <c r="D122" s="8">
        <v>154.4</v>
      </c>
      <c r="E122" s="8">
        <v>273.7</v>
      </c>
      <c r="F122" s="8">
        <v>144.6</v>
      </c>
      <c r="G122" s="8">
        <v>136</v>
      </c>
      <c r="H122" s="8">
        <v>70.400000000000006</v>
      </c>
      <c r="I122" s="8">
        <v>144.1</v>
      </c>
      <c r="J122" s="8">
        <v>115.7</v>
      </c>
      <c r="K122" s="8">
        <v>185.1</v>
      </c>
      <c r="L122" s="8">
        <v>200.5</v>
      </c>
      <c r="M122" s="8">
        <v>167.5</v>
      </c>
      <c r="N122" s="8">
        <v>85.9</v>
      </c>
      <c r="O122" s="28">
        <f t="shared" si="1"/>
        <v>1803</v>
      </c>
    </row>
    <row r="123" spans="1:15" ht="15" customHeight="1" x14ac:dyDescent="0.3">
      <c r="A123" s="6" t="s">
        <v>373</v>
      </c>
      <c r="B123" s="6" t="s">
        <v>371</v>
      </c>
      <c r="C123" s="8"/>
      <c r="D123" s="8"/>
      <c r="E123" s="8">
        <v>114.9</v>
      </c>
      <c r="F123" s="8">
        <v>341.2</v>
      </c>
      <c r="G123" s="8">
        <v>201.6</v>
      </c>
      <c r="H123" s="8">
        <v>213.1</v>
      </c>
      <c r="I123" s="8">
        <v>158</v>
      </c>
      <c r="J123" s="8">
        <v>217.4</v>
      </c>
      <c r="K123" s="8">
        <v>121.9</v>
      </c>
      <c r="L123" s="8">
        <v>130.30000000000001</v>
      </c>
      <c r="M123" s="8">
        <v>151</v>
      </c>
      <c r="N123" s="8">
        <v>137</v>
      </c>
      <c r="O123" s="28">
        <f t="shared" si="1"/>
        <v>1786.4000000000003</v>
      </c>
    </row>
    <row r="124" spans="1:15" ht="15" customHeight="1" x14ac:dyDescent="0.3">
      <c r="A124" s="6" t="s">
        <v>405</v>
      </c>
      <c r="B124" s="6" t="s">
        <v>406</v>
      </c>
      <c r="C124" s="8"/>
      <c r="D124" s="8">
        <v>539.9</v>
      </c>
      <c r="E124" s="8">
        <v>380.5</v>
      </c>
      <c r="F124" s="8"/>
      <c r="G124" s="8"/>
      <c r="H124" s="8"/>
      <c r="I124" s="8"/>
      <c r="J124" s="8"/>
      <c r="K124" s="8"/>
      <c r="L124" s="8"/>
      <c r="M124" s="8">
        <v>286.10000000000002</v>
      </c>
      <c r="N124" s="8">
        <v>560.5</v>
      </c>
      <c r="O124" s="28">
        <f t="shared" si="1"/>
        <v>1767</v>
      </c>
    </row>
    <row r="125" spans="1:15" ht="15" customHeight="1" x14ac:dyDescent="0.3">
      <c r="A125" s="6" t="s">
        <v>167</v>
      </c>
      <c r="B125" s="6" t="s">
        <v>89</v>
      </c>
      <c r="C125" s="8">
        <v>169.9</v>
      </c>
      <c r="D125" s="8">
        <v>128.1</v>
      </c>
      <c r="E125" s="8">
        <v>129.5</v>
      </c>
      <c r="F125" s="8">
        <v>125.6</v>
      </c>
      <c r="G125" s="8">
        <v>131.4</v>
      </c>
      <c r="H125" s="8">
        <v>144.30000000000001</v>
      </c>
      <c r="I125" s="8">
        <v>144.1</v>
      </c>
      <c r="J125" s="8">
        <v>147.80000000000001</v>
      </c>
      <c r="K125" s="8">
        <v>144</v>
      </c>
      <c r="L125" s="8">
        <v>182.2</v>
      </c>
      <c r="M125" s="8">
        <v>181.1</v>
      </c>
      <c r="N125" s="8">
        <v>124.4</v>
      </c>
      <c r="O125" s="28">
        <f t="shared" si="1"/>
        <v>1752.4</v>
      </c>
    </row>
    <row r="126" spans="1:15" ht="15" customHeight="1" x14ac:dyDescent="0.3">
      <c r="A126" s="6" t="s">
        <v>168</v>
      </c>
      <c r="B126" s="6" t="s">
        <v>169</v>
      </c>
      <c r="C126" s="8">
        <v>173.8</v>
      </c>
      <c r="D126" s="8">
        <v>146.6</v>
      </c>
      <c r="E126" s="8">
        <v>177.3</v>
      </c>
      <c r="F126" s="8">
        <v>180.4</v>
      </c>
      <c r="G126" s="8">
        <v>134.5</v>
      </c>
      <c r="H126" s="8">
        <v>132.6</v>
      </c>
      <c r="I126" s="8">
        <v>131.1</v>
      </c>
      <c r="J126" s="8">
        <v>82.8</v>
      </c>
      <c r="K126" s="8">
        <v>167</v>
      </c>
      <c r="L126" s="8">
        <v>130.9</v>
      </c>
      <c r="M126" s="8">
        <v>124.8</v>
      </c>
      <c r="N126" s="8">
        <v>133.69999999999999</v>
      </c>
      <c r="O126" s="28">
        <f t="shared" si="1"/>
        <v>1715.5</v>
      </c>
    </row>
    <row r="127" spans="1:15" ht="15" customHeight="1" x14ac:dyDescent="0.3">
      <c r="A127" s="6" t="s">
        <v>171</v>
      </c>
      <c r="B127" s="6" t="s">
        <v>89</v>
      </c>
      <c r="C127" s="8">
        <v>147.9</v>
      </c>
      <c r="D127" s="8">
        <v>128.6</v>
      </c>
      <c r="E127" s="8">
        <v>117.7</v>
      </c>
      <c r="F127" s="8">
        <v>92.2</v>
      </c>
      <c r="G127" s="8">
        <v>100.2</v>
      </c>
      <c r="H127" s="8">
        <v>102.1</v>
      </c>
      <c r="I127" s="8">
        <v>104.6</v>
      </c>
      <c r="J127" s="8">
        <v>146.80000000000001</v>
      </c>
      <c r="K127" s="8">
        <v>173.5</v>
      </c>
      <c r="L127" s="8">
        <v>185.5</v>
      </c>
      <c r="M127" s="8">
        <v>207.9</v>
      </c>
      <c r="N127" s="8">
        <v>206.5</v>
      </c>
      <c r="O127" s="28">
        <f t="shared" si="1"/>
        <v>1713.5000000000002</v>
      </c>
    </row>
    <row r="128" spans="1:15" ht="15" customHeight="1" x14ac:dyDescent="0.3">
      <c r="A128" s="6" t="s">
        <v>172</v>
      </c>
      <c r="B128" s="6" t="s">
        <v>173</v>
      </c>
      <c r="C128" s="8">
        <v>195.9</v>
      </c>
      <c r="D128" s="8">
        <v>164</v>
      </c>
      <c r="E128" s="8">
        <v>140.30000000000001</v>
      </c>
      <c r="F128" s="8">
        <v>116.3</v>
      </c>
      <c r="G128" s="8">
        <v>93.1</v>
      </c>
      <c r="H128" s="8">
        <v>140.4</v>
      </c>
      <c r="I128" s="8">
        <v>204.1</v>
      </c>
      <c r="J128" s="8">
        <v>181.9</v>
      </c>
      <c r="K128" s="8">
        <v>154.19999999999999</v>
      </c>
      <c r="L128" s="8">
        <v>185.5</v>
      </c>
      <c r="M128" s="8">
        <v>65.400000000000006</v>
      </c>
      <c r="N128" s="8">
        <v>59.6</v>
      </c>
      <c r="O128" s="28">
        <f t="shared" si="1"/>
        <v>1700.7</v>
      </c>
    </row>
    <row r="129" spans="1:15" ht="15" customHeight="1" x14ac:dyDescent="0.3">
      <c r="A129" s="6" t="s">
        <v>175</v>
      </c>
      <c r="B129" s="6" t="s">
        <v>150</v>
      </c>
      <c r="C129" s="8">
        <v>275.60000000000002</v>
      </c>
      <c r="D129" s="8">
        <v>155.4</v>
      </c>
      <c r="E129" s="8">
        <v>272.39999999999998</v>
      </c>
      <c r="F129" s="8">
        <v>84.4</v>
      </c>
      <c r="G129" s="8">
        <v>103.3</v>
      </c>
      <c r="H129" s="8">
        <v>155.1</v>
      </c>
      <c r="I129" s="8">
        <v>171</v>
      </c>
      <c r="J129" s="8">
        <v>49.3</v>
      </c>
      <c r="K129" s="8">
        <v>140.19999999999999</v>
      </c>
      <c r="L129" s="8">
        <v>90.7</v>
      </c>
      <c r="M129" s="8">
        <v>93.2</v>
      </c>
      <c r="N129" s="8">
        <v>109.3</v>
      </c>
      <c r="O129" s="28">
        <f t="shared" si="1"/>
        <v>1699.8999999999999</v>
      </c>
    </row>
    <row r="130" spans="1:15" ht="15" customHeight="1" x14ac:dyDescent="0.3">
      <c r="A130" s="6" t="s">
        <v>374</v>
      </c>
      <c r="B130" s="6" t="s">
        <v>375</v>
      </c>
      <c r="C130" s="8">
        <v>12.3</v>
      </c>
      <c r="D130" s="8">
        <v>10.8</v>
      </c>
      <c r="E130" s="8">
        <v>64.2</v>
      </c>
      <c r="F130" s="8">
        <v>192.9</v>
      </c>
      <c r="G130" s="8">
        <v>191.2</v>
      </c>
      <c r="H130" s="8">
        <v>163.5</v>
      </c>
      <c r="I130" s="8">
        <v>156.4</v>
      </c>
      <c r="J130" s="8">
        <v>154.19999999999999</v>
      </c>
      <c r="K130" s="8">
        <v>149.5</v>
      </c>
      <c r="L130" s="8">
        <v>162.9</v>
      </c>
      <c r="M130" s="8">
        <v>263.5</v>
      </c>
      <c r="N130" s="8">
        <v>149.6</v>
      </c>
      <c r="O130" s="28">
        <f t="shared" si="1"/>
        <v>1671</v>
      </c>
    </row>
    <row r="131" spans="1:15" ht="15" customHeight="1" x14ac:dyDescent="0.3">
      <c r="A131" s="6" t="s">
        <v>176</v>
      </c>
      <c r="B131" s="6" t="s">
        <v>138</v>
      </c>
      <c r="C131" s="8">
        <v>167</v>
      </c>
      <c r="D131" s="8">
        <v>150.80000000000001</v>
      </c>
      <c r="E131" s="8">
        <v>160.4</v>
      </c>
      <c r="F131" s="8">
        <v>143.30000000000001</v>
      </c>
      <c r="G131" s="8">
        <v>158.30000000000001</v>
      </c>
      <c r="H131" s="8">
        <v>132.30000000000001</v>
      </c>
      <c r="I131" s="8">
        <v>125.2</v>
      </c>
      <c r="J131" s="8">
        <v>101.3</v>
      </c>
      <c r="K131" s="8">
        <v>131.19999999999999</v>
      </c>
      <c r="L131" s="8">
        <v>134.80000000000001</v>
      </c>
      <c r="M131" s="8">
        <v>114.6</v>
      </c>
      <c r="N131" s="8">
        <v>115.5</v>
      </c>
      <c r="O131" s="28">
        <f t="shared" si="1"/>
        <v>1634.6999999999998</v>
      </c>
    </row>
    <row r="132" spans="1:15" ht="15" customHeight="1" x14ac:dyDescent="0.3">
      <c r="A132" s="6" t="s">
        <v>467</v>
      </c>
      <c r="B132" s="6" t="s">
        <v>468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>
        <v>829.6</v>
      </c>
      <c r="N132" s="8">
        <v>804.4</v>
      </c>
      <c r="O132" s="28">
        <f t="shared" ref="O132:O195" si="2">SUM(C132:N132)</f>
        <v>1634</v>
      </c>
    </row>
    <row r="133" spans="1:15" ht="15" customHeight="1" x14ac:dyDescent="0.3">
      <c r="A133" s="6" t="s">
        <v>177</v>
      </c>
      <c r="B133" s="6" t="s">
        <v>38</v>
      </c>
      <c r="C133" s="8">
        <v>145.9</v>
      </c>
      <c r="D133" s="8">
        <v>123.1</v>
      </c>
      <c r="E133" s="8">
        <v>103.7</v>
      </c>
      <c r="F133" s="8">
        <v>140.6</v>
      </c>
      <c r="G133" s="8">
        <v>148</v>
      </c>
      <c r="H133" s="8">
        <v>129.5</v>
      </c>
      <c r="I133" s="8">
        <v>123.7</v>
      </c>
      <c r="J133" s="8">
        <v>138.1</v>
      </c>
      <c r="K133" s="8">
        <v>242</v>
      </c>
      <c r="L133" s="8">
        <v>188.9</v>
      </c>
      <c r="M133" s="8">
        <v>87.4</v>
      </c>
      <c r="N133" s="8">
        <v>62.6</v>
      </c>
      <c r="O133" s="28">
        <f t="shared" si="2"/>
        <v>1633.5</v>
      </c>
    </row>
    <row r="134" spans="1:15" ht="15" customHeight="1" x14ac:dyDescent="0.3">
      <c r="A134" s="6" t="s">
        <v>178</v>
      </c>
      <c r="B134" s="6" t="s">
        <v>68</v>
      </c>
      <c r="C134" s="8">
        <v>151.69999999999999</v>
      </c>
      <c r="D134" s="8">
        <v>138.4</v>
      </c>
      <c r="E134" s="8">
        <v>155.1</v>
      </c>
      <c r="F134" s="8">
        <v>147.4</v>
      </c>
      <c r="G134" s="8">
        <v>149.5</v>
      </c>
      <c r="H134" s="8">
        <v>138.69999999999999</v>
      </c>
      <c r="I134" s="8">
        <v>130.69999999999999</v>
      </c>
      <c r="J134" s="8">
        <v>128.1</v>
      </c>
      <c r="K134" s="8">
        <v>128.30000000000001</v>
      </c>
      <c r="L134" s="8">
        <v>135</v>
      </c>
      <c r="M134" s="8">
        <v>122.8</v>
      </c>
      <c r="N134" s="8">
        <v>94.1</v>
      </c>
      <c r="O134" s="28">
        <f t="shared" si="2"/>
        <v>1619.7999999999997</v>
      </c>
    </row>
    <row r="135" spans="1:15" ht="15" customHeight="1" x14ac:dyDescent="0.3">
      <c r="A135" s="6" t="s">
        <v>179</v>
      </c>
      <c r="B135" s="6" t="s">
        <v>169</v>
      </c>
      <c r="C135" s="8">
        <v>126</v>
      </c>
      <c r="D135" s="8">
        <v>117.4</v>
      </c>
      <c r="E135" s="8">
        <v>137.1</v>
      </c>
      <c r="F135" s="8">
        <v>153.19999999999999</v>
      </c>
      <c r="G135" s="8">
        <v>148.6</v>
      </c>
      <c r="H135" s="8">
        <v>168.9</v>
      </c>
      <c r="I135" s="8">
        <v>149.69999999999999</v>
      </c>
      <c r="J135" s="8">
        <v>144.80000000000001</v>
      </c>
      <c r="K135" s="8">
        <v>89.2</v>
      </c>
      <c r="L135" s="8">
        <v>111.2</v>
      </c>
      <c r="M135" s="8">
        <v>111.5</v>
      </c>
      <c r="N135" s="8">
        <v>119.5</v>
      </c>
      <c r="O135" s="28">
        <f t="shared" si="2"/>
        <v>1577.1000000000001</v>
      </c>
    </row>
    <row r="136" spans="1:15" ht="15" customHeight="1" x14ac:dyDescent="0.3">
      <c r="A136" s="6" t="s">
        <v>180</v>
      </c>
      <c r="B136" s="6" t="s">
        <v>135</v>
      </c>
      <c r="C136" s="8">
        <v>138.4</v>
      </c>
      <c r="D136" s="8">
        <v>124.3</v>
      </c>
      <c r="E136" s="8">
        <v>142.6</v>
      </c>
      <c r="F136" s="8">
        <v>143.19999999999999</v>
      </c>
      <c r="G136" s="8">
        <v>135.5</v>
      </c>
      <c r="H136" s="8">
        <v>124.6</v>
      </c>
      <c r="I136" s="8">
        <v>129.1</v>
      </c>
      <c r="J136" s="8">
        <v>122.4</v>
      </c>
      <c r="K136" s="8">
        <v>123</v>
      </c>
      <c r="L136" s="8">
        <v>131.4</v>
      </c>
      <c r="M136" s="8">
        <v>122.8</v>
      </c>
      <c r="N136" s="8">
        <v>131.80000000000001</v>
      </c>
      <c r="O136" s="28">
        <f t="shared" si="2"/>
        <v>1569.1000000000001</v>
      </c>
    </row>
    <row r="137" spans="1:15" ht="15" customHeight="1" x14ac:dyDescent="0.3">
      <c r="A137" s="6" t="s">
        <v>181</v>
      </c>
      <c r="B137" s="6" t="s">
        <v>182</v>
      </c>
      <c r="C137" s="8">
        <v>180.6</v>
      </c>
      <c r="D137" s="8">
        <v>138.4</v>
      </c>
      <c r="E137" s="8">
        <v>85.5</v>
      </c>
      <c r="F137" s="8">
        <v>170</v>
      </c>
      <c r="G137" s="8">
        <v>179.4</v>
      </c>
      <c r="H137" s="8">
        <v>154.80000000000001</v>
      </c>
      <c r="I137" s="8">
        <v>140.5</v>
      </c>
      <c r="J137" s="8">
        <v>129.19999999999999</v>
      </c>
      <c r="K137" s="8">
        <v>104.9</v>
      </c>
      <c r="L137" s="8">
        <v>111.9</v>
      </c>
      <c r="M137" s="8">
        <v>106.9</v>
      </c>
      <c r="N137" s="8">
        <v>22.3</v>
      </c>
      <c r="O137" s="28">
        <f t="shared" si="2"/>
        <v>1524.4000000000003</v>
      </c>
    </row>
    <row r="138" spans="1:15" ht="15" customHeight="1" x14ac:dyDescent="0.3">
      <c r="A138" s="6" t="s">
        <v>184</v>
      </c>
      <c r="B138" s="6" t="s">
        <v>185</v>
      </c>
      <c r="C138" s="8">
        <v>162.5</v>
      </c>
      <c r="D138" s="8">
        <v>151.80000000000001</v>
      </c>
      <c r="E138" s="8">
        <v>169.8</v>
      </c>
      <c r="F138" s="8">
        <v>206.1</v>
      </c>
      <c r="G138" s="8">
        <v>109.6</v>
      </c>
      <c r="H138" s="8">
        <v>91.7</v>
      </c>
      <c r="I138" s="8">
        <v>94.3</v>
      </c>
      <c r="J138" s="8">
        <v>108.5</v>
      </c>
      <c r="K138" s="8">
        <v>85</v>
      </c>
      <c r="L138" s="8">
        <v>89.4</v>
      </c>
      <c r="M138" s="8">
        <v>117.4</v>
      </c>
      <c r="N138" s="8">
        <v>132.30000000000001</v>
      </c>
      <c r="O138" s="28">
        <f t="shared" si="2"/>
        <v>1518.4000000000003</v>
      </c>
    </row>
    <row r="139" spans="1:15" ht="15" customHeight="1" x14ac:dyDescent="0.3">
      <c r="A139" s="6" t="s">
        <v>472</v>
      </c>
      <c r="B139" s="6" t="s">
        <v>468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>
        <v>808.8</v>
      </c>
      <c r="N139" s="8">
        <v>709.5</v>
      </c>
      <c r="O139" s="28">
        <f t="shared" si="2"/>
        <v>1518.3</v>
      </c>
    </row>
    <row r="140" spans="1:15" ht="15" customHeight="1" x14ac:dyDescent="0.3">
      <c r="A140" s="6" t="s">
        <v>187</v>
      </c>
      <c r="B140" s="6" t="s">
        <v>169</v>
      </c>
      <c r="C140" s="8">
        <v>153.5</v>
      </c>
      <c r="D140" s="8">
        <v>127.2</v>
      </c>
      <c r="E140" s="8">
        <v>153.69999999999999</v>
      </c>
      <c r="F140" s="8">
        <v>136.69999999999999</v>
      </c>
      <c r="G140" s="8">
        <v>130.6</v>
      </c>
      <c r="H140" s="8">
        <v>135.69999999999999</v>
      </c>
      <c r="I140" s="8">
        <v>126.6</v>
      </c>
      <c r="J140" s="8">
        <v>122.1</v>
      </c>
      <c r="K140" s="8">
        <v>107.4</v>
      </c>
      <c r="L140" s="8">
        <v>112.3</v>
      </c>
      <c r="M140" s="8">
        <v>81.7</v>
      </c>
      <c r="N140" s="8">
        <v>97.1</v>
      </c>
      <c r="O140" s="28">
        <f t="shared" si="2"/>
        <v>1484.6</v>
      </c>
    </row>
    <row r="141" spans="1:15" ht="15" customHeight="1" x14ac:dyDescent="0.3">
      <c r="A141" s="6" t="s">
        <v>188</v>
      </c>
      <c r="B141" s="6" t="s">
        <v>132</v>
      </c>
      <c r="C141" s="8">
        <v>104.4</v>
      </c>
      <c r="D141" s="8">
        <v>133.5</v>
      </c>
      <c r="E141" s="8">
        <v>145.9</v>
      </c>
      <c r="F141" s="8">
        <v>136.5</v>
      </c>
      <c r="G141" s="8">
        <v>124.5</v>
      </c>
      <c r="H141" s="8">
        <v>136.1</v>
      </c>
      <c r="I141" s="8">
        <v>132.80000000000001</v>
      </c>
      <c r="J141" s="8">
        <v>91.4</v>
      </c>
      <c r="K141" s="8">
        <v>135.80000000000001</v>
      </c>
      <c r="L141" s="8">
        <v>119.6</v>
      </c>
      <c r="M141" s="8">
        <v>94.3</v>
      </c>
      <c r="N141" s="8">
        <v>112.7</v>
      </c>
      <c r="O141" s="28">
        <f t="shared" si="2"/>
        <v>1467.5</v>
      </c>
    </row>
    <row r="142" spans="1:15" ht="15" customHeight="1" x14ac:dyDescent="0.3">
      <c r="A142" s="6" t="s">
        <v>189</v>
      </c>
      <c r="B142" s="6" t="s">
        <v>38</v>
      </c>
      <c r="C142" s="8">
        <v>164.9</v>
      </c>
      <c r="D142" s="8">
        <v>90.3</v>
      </c>
      <c r="E142" s="8">
        <v>72.400000000000006</v>
      </c>
      <c r="F142" s="8">
        <v>105.6</v>
      </c>
      <c r="G142" s="8">
        <v>145.5</v>
      </c>
      <c r="H142" s="8">
        <v>117.5</v>
      </c>
      <c r="I142" s="8">
        <v>151.5</v>
      </c>
      <c r="J142" s="8">
        <v>129.4</v>
      </c>
      <c r="K142" s="8">
        <v>131.30000000000001</v>
      </c>
      <c r="L142" s="8">
        <v>134.69999999999999</v>
      </c>
      <c r="M142" s="8">
        <v>114.8</v>
      </c>
      <c r="N142" s="8">
        <v>90.6</v>
      </c>
      <c r="O142" s="28">
        <f t="shared" si="2"/>
        <v>1448.5</v>
      </c>
    </row>
    <row r="143" spans="1:15" ht="15" customHeight="1" x14ac:dyDescent="0.3">
      <c r="A143" s="6" t="s">
        <v>190</v>
      </c>
      <c r="B143" s="6" t="s">
        <v>85</v>
      </c>
      <c r="C143" s="8">
        <v>139.4</v>
      </c>
      <c r="D143" s="8">
        <v>127</v>
      </c>
      <c r="E143" s="8">
        <v>132</v>
      </c>
      <c r="F143" s="8">
        <v>132.5</v>
      </c>
      <c r="G143" s="8">
        <v>100.2</v>
      </c>
      <c r="H143" s="8">
        <v>105.2</v>
      </c>
      <c r="I143" s="8">
        <v>107</v>
      </c>
      <c r="J143" s="8">
        <v>120</v>
      </c>
      <c r="K143" s="8">
        <v>122</v>
      </c>
      <c r="L143" s="8">
        <v>124.4</v>
      </c>
      <c r="M143" s="8">
        <v>121.9</v>
      </c>
      <c r="N143" s="8">
        <v>111.6</v>
      </c>
      <c r="O143" s="28">
        <f t="shared" si="2"/>
        <v>1443.2000000000003</v>
      </c>
    </row>
    <row r="144" spans="1:15" ht="15" customHeight="1" x14ac:dyDescent="0.3">
      <c r="A144" s="6" t="s">
        <v>191</v>
      </c>
      <c r="B144" s="6" t="s">
        <v>192</v>
      </c>
      <c r="C144" s="8">
        <v>195.9</v>
      </c>
      <c r="D144" s="8">
        <v>149.4</v>
      </c>
      <c r="E144" s="8">
        <v>175.5</v>
      </c>
      <c r="F144" s="8">
        <v>85.2</v>
      </c>
      <c r="G144" s="8">
        <v>100</v>
      </c>
      <c r="H144" s="8">
        <v>113</v>
      </c>
      <c r="I144" s="8">
        <v>131.9</v>
      </c>
      <c r="J144" s="8">
        <v>127</v>
      </c>
      <c r="K144" s="8">
        <v>113.8</v>
      </c>
      <c r="L144" s="8">
        <v>136.9</v>
      </c>
      <c r="M144" s="8">
        <v>52.6</v>
      </c>
      <c r="N144" s="8">
        <v>54.6</v>
      </c>
      <c r="O144" s="28">
        <f t="shared" si="2"/>
        <v>1435.8</v>
      </c>
    </row>
    <row r="145" spans="1:15" ht="15" customHeight="1" x14ac:dyDescent="0.3">
      <c r="A145" s="6" t="s">
        <v>194</v>
      </c>
      <c r="B145" s="6" t="s">
        <v>195</v>
      </c>
      <c r="C145" s="8">
        <v>134.6</v>
      </c>
      <c r="D145" s="8">
        <v>119.7</v>
      </c>
      <c r="E145" s="8">
        <v>134.19999999999999</v>
      </c>
      <c r="F145" s="8">
        <v>76.5</v>
      </c>
      <c r="G145" s="8">
        <v>136.80000000000001</v>
      </c>
      <c r="H145" s="8">
        <v>123.5</v>
      </c>
      <c r="I145" s="8">
        <v>131.4</v>
      </c>
      <c r="J145" s="8">
        <v>120.4</v>
      </c>
      <c r="K145" s="8">
        <v>125.2</v>
      </c>
      <c r="L145" s="8">
        <v>132.30000000000001</v>
      </c>
      <c r="M145" s="8">
        <v>76.7</v>
      </c>
      <c r="N145" s="8">
        <v>122</v>
      </c>
      <c r="O145" s="28">
        <f t="shared" si="2"/>
        <v>1433.3</v>
      </c>
    </row>
    <row r="146" spans="1:15" ht="15" customHeight="1" x14ac:dyDescent="0.3">
      <c r="A146" s="6" t="s">
        <v>473</v>
      </c>
      <c r="B146" s="6" t="s">
        <v>468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>
        <v>515.79999999999995</v>
      </c>
      <c r="N146" s="8">
        <v>912.4</v>
      </c>
      <c r="O146" s="28">
        <f t="shared" si="2"/>
        <v>1428.1999999999998</v>
      </c>
    </row>
    <row r="147" spans="1:15" ht="15" customHeight="1" x14ac:dyDescent="0.3">
      <c r="A147" s="6" t="s">
        <v>197</v>
      </c>
      <c r="B147" s="6" t="s">
        <v>198</v>
      </c>
      <c r="C147" s="8">
        <v>127.2</v>
      </c>
      <c r="D147" s="8">
        <v>119.1</v>
      </c>
      <c r="E147" s="8">
        <v>151.9</v>
      </c>
      <c r="F147" s="8">
        <v>155</v>
      </c>
      <c r="G147" s="8">
        <v>136.5</v>
      </c>
      <c r="H147" s="8">
        <v>131.69999999999999</v>
      </c>
      <c r="I147" s="8">
        <v>121.6</v>
      </c>
      <c r="J147" s="8">
        <v>58.5</v>
      </c>
      <c r="K147" s="8">
        <v>160.19999999999999</v>
      </c>
      <c r="L147" s="8">
        <v>115.1</v>
      </c>
      <c r="M147" s="8">
        <v>72.400000000000006</v>
      </c>
      <c r="N147" s="8">
        <v>78</v>
      </c>
      <c r="O147" s="28">
        <f t="shared" si="2"/>
        <v>1427.2</v>
      </c>
    </row>
    <row r="148" spans="1:15" ht="15" customHeight="1" x14ac:dyDescent="0.3">
      <c r="A148" s="6" t="s">
        <v>200</v>
      </c>
      <c r="B148" s="6" t="s">
        <v>169</v>
      </c>
      <c r="C148" s="8">
        <v>125.5</v>
      </c>
      <c r="D148" s="8">
        <v>109.8</v>
      </c>
      <c r="E148" s="8">
        <v>146.19999999999999</v>
      </c>
      <c r="F148" s="8">
        <v>113.4</v>
      </c>
      <c r="G148" s="8">
        <v>138.9</v>
      </c>
      <c r="H148" s="8">
        <v>139.19999999999999</v>
      </c>
      <c r="I148" s="8">
        <v>81.099999999999994</v>
      </c>
      <c r="J148" s="8">
        <v>142.6</v>
      </c>
      <c r="K148" s="8">
        <v>110</v>
      </c>
      <c r="L148" s="8">
        <v>104.8</v>
      </c>
      <c r="M148" s="8">
        <v>104</v>
      </c>
      <c r="N148" s="8">
        <v>111.4</v>
      </c>
      <c r="O148" s="28">
        <f t="shared" si="2"/>
        <v>1426.9</v>
      </c>
    </row>
    <row r="149" spans="1:15" ht="15" customHeight="1" x14ac:dyDescent="0.3">
      <c r="A149" s="6" t="s">
        <v>201</v>
      </c>
      <c r="B149" s="6" t="s">
        <v>150</v>
      </c>
      <c r="C149" s="8">
        <v>141.30000000000001</v>
      </c>
      <c r="D149" s="8">
        <v>145.9</v>
      </c>
      <c r="E149" s="8">
        <v>257.2</v>
      </c>
      <c r="F149" s="8">
        <v>230.8</v>
      </c>
      <c r="G149" s="8">
        <v>205</v>
      </c>
      <c r="H149" s="8">
        <v>109.7</v>
      </c>
      <c r="I149" s="8">
        <v>164.2</v>
      </c>
      <c r="J149" s="8">
        <v>41</v>
      </c>
      <c r="K149" s="8">
        <v>43.1</v>
      </c>
      <c r="L149" s="8">
        <v>32.700000000000003</v>
      </c>
      <c r="M149" s="8">
        <v>13.9</v>
      </c>
      <c r="N149" s="8">
        <v>18.7</v>
      </c>
      <c r="O149" s="28">
        <f t="shared" si="2"/>
        <v>1403.5000000000002</v>
      </c>
    </row>
    <row r="150" spans="1:15" ht="15" customHeight="1" x14ac:dyDescent="0.3">
      <c r="A150" s="6" t="s">
        <v>202</v>
      </c>
      <c r="B150" s="6" t="s">
        <v>85</v>
      </c>
      <c r="C150" s="8">
        <v>130.1</v>
      </c>
      <c r="D150" s="8">
        <v>118.6</v>
      </c>
      <c r="E150" s="8">
        <v>123.3</v>
      </c>
      <c r="F150" s="8">
        <v>123.7</v>
      </c>
      <c r="G150" s="8">
        <v>93.5</v>
      </c>
      <c r="H150" s="8">
        <v>118.3</v>
      </c>
      <c r="I150" s="8">
        <v>107.9</v>
      </c>
      <c r="J150" s="8">
        <v>114</v>
      </c>
      <c r="K150" s="8">
        <v>116.3</v>
      </c>
      <c r="L150" s="8">
        <v>118.6</v>
      </c>
      <c r="M150" s="8">
        <v>113.8</v>
      </c>
      <c r="N150" s="8">
        <v>113.8</v>
      </c>
      <c r="O150" s="28">
        <f t="shared" si="2"/>
        <v>1391.8999999999999</v>
      </c>
    </row>
    <row r="151" spans="1:15" ht="15" customHeight="1" x14ac:dyDescent="0.3">
      <c r="A151" s="6" t="s">
        <v>203</v>
      </c>
      <c r="B151" s="6" t="s">
        <v>150</v>
      </c>
      <c r="C151" s="8">
        <v>94.8</v>
      </c>
      <c r="D151" s="8">
        <v>81.5</v>
      </c>
      <c r="E151" s="8">
        <v>124</v>
      </c>
      <c r="F151" s="8">
        <v>238.4</v>
      </c>
      <c r="G151" s="8">
        <v>168</v>
      </c>
      <c r="H151" s="8">
        <v>71.2</v>
      </c>
      <c r="I151" s="8">
        <v>86.7</v>
      </c>
      <c r="J151" s="8">
        <v>98.6</v>
      </c>
      <c r="K151" s="8">
        <v>100.6</v>
      </c>
      <c r="L151" s="8">
        <v>111.9</v>
      </c>
      <c r="M151" s="8">
        <v>108.8</v>
      </c>
      <c r="N151" s="8">
        <v>104.6</v>
      </c>
      <c r="O151" s="28">
        <f t="shared" si="2"/>
        <v>1389.1000000000001</v>
      </c>
    </row>
    <row r="152" spans="1:15" ht="15" customHeight="1" x14ac:dyDescent="0.3">
      <c r="A152" s="6" t="s">
        <v>204</v>
      </c>
      <c r="B152" s="6" t="s">
        <v>115</v>
      </c>
      <c r="C152" s="8">
        <v>160.80000000000001</v>
      </c>
      <c r="D152" s="8">
        <v>93.3</v>
      </c>
      <c r="E152" s="8">
        <v>108.5</v>
      </c>
      <c r="F152" s="8">
        <v>122.9</v>
      </c>
      <c r="G152" s="8">
        <v>123.2</v>
      </c>
      <c r="H152" s="8">
        <v>99</v>
      </c>
      <c r="I152" s="8">
        <v>98.2</v>
      </c>
      <c r="J152" s="8">
        <v>116.7</v>
      </c>
      <c r="K152" s="8">
        <v>115.4</v>
      </c>
      <c r="L152" s="8">
        <v>121.1</v>
      </c>
      <c r="M152" s="8">
        <v>114.6</v>
      </c>
      <c r="N152" s="8">
        <v>114.3</v>
      </c>
      <c r="O152" s="28">
        <f t="shared" si="2"/>
        <v>1388</v>
      </c>
    </row>
    <row r="153" spans="1:15" ht="15" customHeight="1" x14ac:dyDescent="0.3">
      <c r="A153" s="6" t="s">
        <v>205</v>
      </c>
      <c r="B153" s="6" t="s">
        <v>206</v>
      </c>
      <c r="C153" s="8">
        <v>84.5</v>
      </c>
      <c r="D153" s="8">
        <v>93.6</v>
      </c>
      <c r="E153" s="8">
        <v>107.8</v>
      </c>
      <c r="F153" s="8">
        <v>106.8</v>
      </c>
      <c r="G153" s="8">
        <v>129.69999999999999</v>
      </c>
      <c r="H153" s="8">
        <v>122.9</v>
      </c>
      <c r="I153" s="8">
        <v>127.2</v>
      </c>
      <c r="J153" s="8">
        <v>128.6</v>
      </c>
      <c r="K153" s="8">
        <v>119.4</v>
      </c>
      <c r="L153" s="8">
        <v>122.6</v>
      </c>
      <c r="M153" s="8">
        <v>124.1</v>
      </c>
      <c r="N153" s="8">
        <v>116.1</v>
      </c>
      <c r="O153" s="28">
        <f t="shared" si="2"/>
        <v>1383.2999999999997</v>
      </c>
    </row>
    <row r="154" spans="1:15" ht="15" customHeight="1" x14ac:dyDescent="0.3">
      <c r="A154" s="6" t="s">
        <v>208</v>
      </c>
      <c r="B154" s="6" t="s">
        <v>169</v>
      </c>
      <c r="C154" s="8">
        <v>123.1</v>
      </c>
      <c r="D154" s="8">
        <v>151.5</v>
      </c>
      <c r="E154" s="8">
        <v>159.5</v>
      </c>
      <c r="F154" s="8">
        <v>111.8</v>
      </c>
      <c r="G154" s="8">
        <v>130.19999999999999</v>
      </c>
      <c r="H154" s="8">
        <v>114.5</v>
      </c>
      <c r="I154" s="8">
        <v>110.3</v>
      </c>
      <c r="J154" s="8">
        <v>109.5</v>
      </c>
      <c r="K154" s="8">
        <v>89.9</v>
      </c>
      <c r="L154" s="8">
        <v>89.8</v>
      </c>
      <c r="M154" s="8">
        <v>89.2</v>
      </c>
      <c r="N154" s="8">
        <v>95.5</v>
      </c>
      <c r="O154" s="28">
        <f t="shared" si="2"/>
        <v>1374.8</v>
      </c>
    </row>
    <row r="155" spans="1:15" ht="15" customHeight="1" x14ac:dyDescent="0.3">
      <c r="A155" s="6" t="s">
        <v>209</v>
      </c>
      <c r="B155" s="6" t="s">
        <v>169</v>
      </c>
      <c r="C155" s="8">
        <v>244.7</v>
      </c>
      <c r="D155" s="8">
        <v>162.30000000000001</v>
      </c>
      <c r="E155" s="8">
        <v>149.1</v>
      </c>
      <c r="F155" s="8">
        <v>96.2</v>
      </c>
      <c r="G155" s="8">
        <v>85.6</v>
      </c>
      <c r="H155" s="8">
        <v>78.400000000000006</v>
      </c>
      <c r="I155" s="8">
        <v>84.8</v>
      </c>
      <c r="J155" s="8">
        <v>85.1</v>
      </c>
      <c r="K155" s="8">
        <v>101.2</v>
      </c>
      <c r="L155" s="8">
        <v>112.3</v>
      </c>
      <c r="M155" s="8">
        <v>88.7</v>
      </c>
      <c r="N155" s="8">
        <v>82.8</v>
      </c>
      <c r="O155" s="28">
        <f t="shared" si="2"/>
        <v>1371.2</v>
      </c>
    </row>
    <row r="156" spans="1:15" ht="15" customHeight="1" x14ac:dyDescent="0.3">
      <c r="A156" s="6" t="s">
        <v>210</v>
      </c>
      <c r="B156" s="6" t="s">
        <v>65</v>
      </c>
      <c r="C156" s="8">
        <v>189.2</v>
      </c>
      <c r="D156" s="8">
        <v>218.9</v>
      </c>
      <c r="E156" s="8">
        <v>157</v>
      </c>
      <c r="F156" s="8">
        <v>66.5</v>
      </c>
      <c r="G156" s="8">
        <v>76.900000000000006</v>
      </c>
      <c r="H156" s="8">
        <v>60.3</v>
      </c>
      <c r="I156" s="8">
        <v>71.5</v>
      </c>
      <c r="J156" s="8">
        <v>68.099999999999994</v>
      </c>
      <c r="K156" s="8">
        <v>100.2</v>
      </c>
      <c r="L156" s="8">
        <v>119.9</v>
      </c>
      <c r="M156" s="8">
        <v>113.7</v>
      </c>
      <c r="N156" s="8">
        <v>127.2</v>
      </c>
      <c r="O156" s="28">
        <f t="shared" si="2"/>
        <v>1369.4</v>
      </c>
    </row>
    <row r="157" spans="1:15" ht="15" customHeight="1" x14ac:dyDescent="0.3">
      <c r="A157" s="6" t="s">
        <v>211</v>
      </c>
      <c r="B157" s="6" t="s">
        <v>212</v>
      </c>
      <c r="C157" s="8">
        <v>144.69999999999999</v>
      </c>
      <c r="D157" s="8">
        <v>122</v>
      </c>
      <c r="E157" s="8">
        <v>136</v>
      </c>
      <c r="F157" s="8">
        <v>115.6</v>
      </c>
      <c r="G157" s="8">
        <v>98.4</v>
      </c>
      <c r="H157" s="8">
        <v>99.5</v>
      </c>
      <c r="I157" s="8">
        <v>94.4</v>
      </c>
      <c r="J157" s="8">
        <v>39</v>
      </c>
      <c r="K157" s="8">
        <v>116</v>
      </c>
      <c r="L157" s="8">
        <v>251.1</v>
      </c>
      <c r="M157" s="8">
        <v>83.7</v>
      </c>
      <c r="N157" s="8">
        <v>47.5</v>
      </c>
      <c r="O157" s="28">
        <f t="shared" si="2"/>
        <v>1347.8999999999999</v>
      </c>
    </row>
    <row r="158" spans="1:15" ht="15" customHeight="1" x14ac:dyDescent="0.3">
      <c r="A158" s="6" t="s">
        <v>214</v>
      </c>
      <c r="B158" s="6" t="s">
        <v>215</v>
      </c>
      <c r="C158" s="8">
        <v>133.69999999999999</v>
      </c>
      <c r="D158" s="8">
        <v>115.3</v>
      </c>
      <c r="E158" s="8">
        <v>120.8</v>
      </c>
      <c r="F158" s="8">
        <v>111.9</v>
      </c>
      <c r="G158" s="8">
        <v>130.19999999999999</v>
      </c>
      <c r="H158" s="8">
        <v>114.8</v>
      </c>
      <c r="I158" s="8">
        <v>130.30000000000001</v>
      </c>
      <c r="J158" s="8">
        <v>141.80000000000001</v>
      </c>
      <c r="K158" s="8">
        <v>127.7</v>
      </c>
      <c r="L158" s="8">
        <v>108.1</v>
      </c>
      <c r="M158" s="8">
        <v>86.8</v>
      </c>
      <c r="N158" s="8">
        <v>25</v>
      </c>
      <c r="O158" s="28">
        <f t="shared" si="2"/>
        <v>1346.3999999999999</v>
      </c>
    </row>
    <row r="159" spans="1:15" ht="15" customHeight="1" x14ac:dyDescent="0.3">
      <c r="A159" s="6" t="s">
        <v>216</v>
      </c>
      <c r="B159" s="6" t="s">
        <v>217</v>
      </c>
      <c r="C159" s="8">
        <v>160.1</v>
      </c>
      <c r="D159" s="8">
        <v>129.30000000000001</v>
      </c>
      <c r="E159" s="8">
        <v>133.69999999999999</v>
      </c>
      <c r="F159" s="8">
        <v>126.2</v>
      </c>
      <c r="G159" s="8">
        <v>133.1</v>
      </c>
      <c r="H159" s="8">
        <v>51.4</v>
      </c>
      <c r="I159" s="8">
        <v>111.3</v>
      </c>
      <c r="J159" s="8">
        <v>100.4</v>
      </c>
      <c r="K159" s="8">
        <v>107.6</v>
      </c>
      <c r="L159" s="8">
        <v>120.5</v>
      </c>
      <c r="M159" s="8">
        <v>64.7</v>
      </c>
      <c r="N159" s="8">
        <v>86.8</v>
      </c>
      <c r="O159" s="28">
        <f t="shared" si="2"/>
        <v>1325.1</v>
      </c>
    </row>
    <row r="160" spans="1:15" ht="15" customHeight="1" x14ac:dyDescent="0.3">
      <c r="A160" s="6" t="s">
        <v>219</v>
      </c>
      <c r="B160" s="6" t="s">
        <v>138</v>
      </c>
      <c r="C160" s="8">
        <v>84</v>
      </c>
      <c r="D160" s="8">
        <v>139.1</v>
      </c>
      <c r="E160" s="8">
        <v>165</v>
      </c>
      <c r="F160" s="8">
        <v>139.6</v>
      </c>
      <c r="G160" s="8">
        <v>152.80000000000001</v>
      </c>
      <c r="H160" s="8">
        <v>145</v>
      </c>
      <c r="I160" s="8">
        <v>118</v>
      </c>
      <c r="J160" s="8">
        <v>61.5</v>
      </c>
      <c r="K160" s="8">
        <v>86</v>
      </c>
      <c r="L160" s="8">
        <v>102</v>
      </c>
      <c r="M160" s="8">
        <v>70.2</v>
      </c>
      <c r="N160" s="8">
        <v>59.3</v>
      </c>
      <c r="O160" s="28">
        <f t="shared" si="2"/>
        <v>1322.5</v>
      </c>
    </row>
    <row r="161" spans="1:15" ht="15" customHeight="1" x14ac:dyDescent="0.3">
      <c r="A161" s="6" t="s">
        <v>220</v>
      </c>
      <c r="B161" s="6" t="s">
        <v>115</v>
      </c>
      <c r="C161" s="8">
        <v>125.2</v>
      </c>
      <c r="D161" s="8">
        <v>110.7</v>
      </c>
      <c r="E161" s="8">
        <v>110.8</v>
      </c>
      <c r="F161" s="8">
        <v>70</v>
      </c>
      <c r="G161" s="8">
        <v>70.8</v>
      </c>
      <c r="H161" s="8">
        <v>70.400000000000006</v>
      </c>
      <c r="I161" s="8">
        <v>109</v>
      </c>
      <c r="J161" s="8">
        <v>122.8</v>
      </c>
      <c r="K161" s="8">
        <v>115.5</v>
      </c>
      <c r="L161" s="8">
        <v>135.1</v>
      </c>
      <c r="M161" s="8">
        <v>142.9</v>
      </c>
      <c r="N161" s="8">
        <v>138.1</v>
      </c>
      <c r="O161" s="28">
        <f t="shared" si="2"/>
        <v>1321.3</v>
      </c>
    </row>
    <row r="162" spans="1:15" ht="15" customHeight="1" x14ac:dyDescent="0.3">
      <c r="A162" s="6" t="s">
        <v>221</v>
      </c>
      <c r="B162" s="6" t="s">
        <v>206</v>
      </c>
      <c r="C162" s="8">
        <v>104.2</v>
      </c>
      <c r="D162" s="8">
        <v>90.5</v>
      </c>
      <c r="E162" s="8">
        <v>121.2</v>
      </c>
      <c r="F162" s="8">
        <v>126.3</v>
      </c>
      <c r="G162" s="8">
        <v>126.1</v>
      </c>
      <c r="H162" s="8">
        <v>96.5</v>
      </c>
      <c r="I162" s="8">
        <v>90.2</v>
      </c>
      <c r="J162" s="8">
        <v>94.5</v>
      </c>
      <c r="K162" s="8">
        <v>93.5</v>
      </c>
      <c r="L162" s="8">
        <v>126</v>
      </c>
      <c r="M162" s="8">
        <v>120.1</v>
      </c>
      <c r="N162" s="8">
        <v>122.5</v>
      </c>
      <c r="O162" s="28">
        <f t="shared" si="2"/>
        <v>1311.6</v>
      </c>
    </row>
    <row r="163" spans="1:15" ht="15" customHeight="1" x14ac:dyDescent="0.3">
      <c r="A163" s="6" t="s">
        <v>222</v>
      </c>
      <c r="B163" s="6" t="s">
        <v>159</v>
      </c>
      <c r="C163" s="8">
        <v>77.900000000000006</v>
      </c>
      <c r="D163" s="8">
        <v>92.3</v>
      </c>
      <c r="E163" s="8">
        <v>123</v>
      </c>
      <c r="F163" s="8">
        <v>114.4</v>
      </c>
      <c r="G163" s="8">
        <v>113.6</v>
      </c>
      <c r="H163" s="8">
        <v>129.9</v>
      </c>
      <c r="I163" s="8">
        <v>116.3</v>
      </c>
      <c r="J163" s="8">
        <v>112.2</v>
      </c>
      <c r="K163" s="8">
        <v>112.9</v>
      </c>
      <c r="L163" s="8">
        <v>109.2</v>
      </c>
      <c r="M163" s="8">
        <v>75.5</v>
      </c>
      <c r="N163" s="8">
        <v>103.5</v>
      </c>
      <c r="O163" s="28">
        <f t="shared" si="2"/>
        <v>1280.7</v>
      </c>
    </row>
    <row r="164" spans="1:15" ht="15" customHeight="1" x14ac:dyDescent="0.3">
      <c r="A164" s="6" t="s">
        <v>223</v>
      </c>
      <c r="B164" s="6" t="s">
        <v>169</v>
      </c>
      <c r="C164" s="8">
        <v>120.3</v>
      </c>
      <c r="D164" s="8">
        <v>107.5</v>
      </c>
      <c r="E164" s="8">
        <v>126.3</v>
      </c>
      <c r="F164" s="8">
        <v>95.2</v>
      </c>
      <c r="G164" s="8">
        <v>108.7</v>
      </c>
      <c r="H164" s="8">
        <v>104.6</v>
      </c>
      <c r="I164" s="8">
        <v>121.1</v>
      </c>
      <c r="J164" s="8">
        <v>109</v>
      </c>
      <c r="K164" s="8">
        <v>87.3</v>
      </c>
      <c r="L164" s="8">
        <v>68</v>
      </c>
      <c r="M164" s="8">
        <v>111.5</v>
      </c>
      <c r="N164" s="8">
        <v>119.5</v>
      </c>
      <c r="O164" s="28">
        <f t="shared" si="2"/>
        <v>1279</v>
      </c>
    </row>
    <row r="165" spans="1:15" ht="15" customHeight="1" x14ac:dyDescent="0.3">
      <c r="A165" s="6" t="s">
        <v>224</v>
      </c>
      <c r="B165" s="6" t="s">
        <v>225</v>
      </c>
      <c r="C165" s="8">
        <v>65.5</v>
      </c>
      <c r="D165" s="8">
        <v>189.2</v>
      </c>
      <c r="E165" s="8">
        <v>49.2</v>
      </c>
      <c r="F165" s="8">
        <v>62.7</v>
      </c>
      <c r="G165" s="8">
        <v>97.3</v>
      </c>
      <c r="H165" s="8">
        <v>71.599999999999994</v>
      </c>
      <c r="I165" s="8">
        <v>208.6</v>
      </c>
      <c r="J165" s="8">
        <v>164.9</v>
      </c>
      <c r="K165" s="8">
        <v>104.6</v>
      </c>
      <c r="L165" s="8">
        <v>67.2</v>
      </c>
      <c r="M165" s="8">
        <v>64.8</v>
      </c>
      <c r="N165" s="8">
        <v>130.5</v>
      </c>
      <c r="O165" s="28">
        <f t="shared" si="2"/>
        <v>1276.0999999999999</v>
      </c>
    </row>
    <row r="166" spans="1:15" ht="15" customHeight="1" x14ac:dyDescent="0.3">
      <c r="A166" s="6" t="s">
        <v>475</v>
      </c>
      <c r="B166" s="6" t="s">
        <v>476</v>
      </c>
      <c r="C166" s="8">
        <v>559.9</v>
      </c>
      <c r="D166" s="8">
        <v>408.7</v>
      </c>
      <c r="E166" s="8">
        <v>302.5</v>
      </c>
      <c r="F166" s="8"/>
      <c r="G166" s="8"/>
      <c r="H166" s="8"/>
      <c r="I166" s="8"/>
      <c r="J166" s="8"/>
      <c r="K166" s="8"/>
      <c r="L166" s="8"/>
      <c r="M166" s="8"/>
      <c r="N166" s="8"/>
      <c r="O166" s="28">
        <f t="shared" si="2"/>
        <v>1271.0999999999999</v>
      </c>
    </row>
    <row r="167" spans="1:15" ht="15" customHeight="1" x14ac:dyDescent="0.3">
      <c r="A167" s="6" t="s">
        <v>227</v>
      </c>
      <c r="B167" s="6" t="s">
        <v>44</v>
      </c>
      <c r="C167" s="8">
        <v>124</v>
      </c>
      <c r="D167" s="8">
        <v>100.2</v>
      </c>
      <c r="E167" s="8">
        <v>108.1</v>
      </c>
      <c r="F167" s="8">
        <v>102.5</v>
      </c>
      <c r="G167" s="8">
        <v>105.8</v>
      </c>
      <c r="H167" s="8">
        <v>88.4</v>
      </c>
      <c r="I167" s="8">
        <v>104.3</v>
      </c>
      <c r="J167" s="8">
        <v>101.9</v>
      </c>
      <c r="K167" s="8">
        <v>94.7</v>
      </c>
      <c r="L167" s="8">
        <v>106.4</v>
      </c>
      <c r="M167" s="8">
        <v>108.7</v>
      </c>
      <c r="N167" s="8">
        <v>115.1</v>
      </c>
      <c r="O167" s="28">
        <f t="shared" si="2"/>
        <v>1260.0999999999999</v>
      </c>
    </row>
    <row r="168" spans="1:15" ht="15" customHeight="1" x14ac:dyDescent="0.3">
      <c r="A168" s="6" t="s">
        <v>228</v>
      </c>
      <c r="B168" s="6" t="s">
        <v>123</v>
      </c>
      <c r="C168" s="8">
        <v>142.69999999999999</v>
      </c>
      <c r="D168" s="8">
        <v>107.8</v>
      </c>
      <c r="E168" s="8">
        <v>110.6</v>
      </c>
      <c r="F168" s="8">
        <v>97.2</v>
      </c>
      <c r="G168" s="8">
        <v>101.3</v>
      </c>
      <c r="H168" s="8">
        <v>100.1</v>
      </c>
      <c r="I168" s="8">
        <v>109.4</v>
      </c>
      <c r="J168" s="8">
        <v>105.3</v>
      </c>
      <c r="K168" s="8">
        <v>94.7</v>
      </c>
      <c r="L168" s="8">
        <v>102.5</v>
      </c>
      <c r="M168" s="8">
        <v>92.4</v>
      </c>
      <c r="N168" s="8">
        <v>93.4</v>
      </c>
      <c r="O168" s="28">
        <f t="shared" si="2"/>
        <v>1257.4000000000001</v>
      </c>
    </row>
    <row r="169" spans="1:15" ht="15" customHeight="1" x14ac:dyDescent="0.3">
      <c r="A169" s="6" t="s">
        <v>229</v>
      </c>
      <c r="B169" s="6" t="s">
        <v>100</v>
      </c>
      <c r="C169" s="8">
        <v>194.9</v>
      </c>
      <c r="D169" s="8">
        <v>142.1</v>
      </c>
      <c r="E169" s="8">
        <v>20.6</v>
      </c>
      <c r="F169" s="8">
        <v>90.3</v>
      </c>
      <c r="G169" s="8">
        <v>117.5</v>
      </c>
      <c r="H169" s="8">
        <v>94.7</v>
      </c>
      <c r="I169" s="8">
        <v>90.3</v>
      </c>
      <c r="J169" s="8">
        <v>84</v>
      </c>
      <c r="K169" s="8">
        <v>89.7</v>
      </c>
      <c r="L169" s="8">
        <v>115.5</v>
      </c>
      <c r="M169" s="8">
        <v>100.4</v>
      </c>
      <c r="N169" s="8">
        <v>109.2</v>
      </c>
      <c r="O169" s="28">
        <f t="shared" si="2"/>
        <v>1249.2000000000003</v>
      </c>
    </row>
    <row r="170" spans="1:15" ht="15" customHeight="1" x14ac:dyDescent="0.3">
      <c r="A170" s="6" t="s">
        <v>230</v>
      </c>
      <c r="B170" s="6" t="s">
        <v>231</v>
      </c>
      <c r="C170" s="8">
        <v>112.5</v>
      </c>
      <c r="D170" s="8">
        <v>143</v>
      </c>
      <c r="E170" s="8">
        <v>86</v>
      </c>
      <c r="F170" s="8">
        <v>7.3</v>
      </c>
      <c r="G170" s="8">
        <v>86.7</v>
      </c>
      <c r="H170" s="8">
        <v>83.1</v>
      </c>
      <c r="I170" s="8">
        <v>124.5</v>
      </c>
      <c r="J170" s="8">
        <v>126.5</v>
      </c>
      <c r="K170" s="8">
        <v>118.6</v>
      </c>
      <c r="L170" s="8">
        <v>110.5</v>
      </c>
      <c r="M170" s="8">
        <v>112.6</v>
      </c>
      <c r="N170" s="8">
        <v>115.5</v>
      </c>
      <c r="O170" s="28">
        <f t="shared" si="2"/>
        <v>1226.8</v>
      </c>
    </row>
    <row r="171" spans="1:15" ht="15" customHeight="1" x14ac:dyDescent="0.3">
      <c r="A171" s="6" t="s">
        <v>233</v>
      </c>
      <c r="B171" s="6" t="s">
        <v>231</v>
      </c>
      <c r="C171" s="8">
        <v>118</v>
      </c>
      <c r="D171" s="8">
        <v>105.6</v>
      </c>
      <c r="E171" s="8">
        <v>115.8</v>
      </c>
      <c r="F171" s="8">
        <v>105</v>
      </c>
      <c r="G171" s="8">
        <v>112.9</v>
      </c>
      <c r="H171" s="8">
        <v>107.8</v>
      </c>
      <c r="I171" s="8">
        <v>119.1</v>
      </c>
      <c r="J171" s="8">
        <v>89.9</v>
      </c>
      <c r="K171" s="8">
        <v>107.8</v>
      </c>
      <c r="L171" s="8">
        <v>103.8</v>
      </c>
      <c r="M171" s="8">
        <v>81.8</v>
      </c>
      <c r="N171" s="8">
        <v>40.700000000000003</v>
      </c>
      <c r="O171" s="28">
        <f t="shared" si="2"/>
        <v>1208.1999999999998</v>
      </c>
    </row>
    <row r="172" spans="1:15" ht="15" customHeight="1" x14ac:dyDescent="0.3">
      <c r="A172" s="6" t="s">
        <v>234</v>
      </c>
      <c r="B172" s="6" t="s">
        <v>235</v>
      </c>
      <c r="C172" s="8">
        <v>108.1</v>
      </c>
      <c r="D172" s="8">
        <v>105.3</v>
      </c>
      <c r="E172" s="8">
        <v>116.8</v>
      </c>
      <c r="F172" s="8">
        <v>115.9</v>
      </c>
      <c r="G172" s="8">
        <v>119.1</v>
      </c>
      <c r="H172" s="8">
        <v>112</v>
      </c>
      <c r="I172" s="8">
        <v>102</v>
      </c>
      <c r="J172" s="8">
        <v>96</v>
      </c>
      <c r="K172" s="8">
        <v>82.5</v>
      </c>
      <c r="L172" s="8">
        <v>81.599999999999994</v>
      </c>
      <c r="M172" s="8">
        <v>78.5</v>
      </c>
      <c r="N172" s="8">
        <v>89.5</v>
      </c>
      <c r="O172" s="28">
        <f t="shared" si="2"/>
        <v>1207.3</v>
      </c>
    </row>
    <row r="173" spans="1:15" ht="15" customHeight="1" x14ac:dyDescent="0.3">
      <c r="A173" s="6" t="s">
        <v>379</v>
      </c>
      <c r="B173" s="6" t="s">
        <v>169</v>
      </c>
      <c r="C173" s="8">
        <v>54.4</v>
      </c>
      <c r="D173" s="8">
        <v>155.69999999999999</v>
      </c>
      <c r="E173" s="8">
        <v>129.19999999999999</v>
      </c>
      <c r="F173" s="8">
        <v>93.6</v>
      </c>
      <c r="G173" s="8">
        <v>71.099999999999994</v>
      </c>
      <c r="H173" s="8">
        <v>72.3</v>
      </c>
      <c r="I173" s="8">
        <v>90.9</v>
      </c>
      <c r="J173" s="8">
        <v>90.9</v>
      </c>
      <c r="K173" s="8">
        <v>105.1</v>
      </c>
      <c r="L173" s="8">
        <v>107.7</v>
      </c>
      <c r="M173" s="8">
        <v>107</v>
      </c>
      <c r="N173" s="8">
        <v>114.6</v>
      </c>
      <c r="O173" s="28">
        <f t="shared" si="2"/>
        <v>1192.5</v>
      </c>
    </row>
    <row r="174" spans="1:15" ht="15" customHeight="1" x14ac:dyDescent="0.3">
      <c r="A174" s="6" t="s">
        <v>479</v>
      </c>
      <c r="B174" s="6" t="s">
        <v>182</v>
      </c>
      <c r="C174" s="8">
        <v>105.5</v>
      </c>
      <c r="D174" s="8">
        <v>92</v>
      </c>
      <c r="E174" s="8">
        <v>98.5</v>
      </c>
      <c r="F174" s="8">
        <v>97.3</v>
      </c>
      <c r="G174" s="8">
        <v>103.1</v>
      </c>
      <c r="H174" s="8">
        <v>166.2</v>
      </c>
      <c r="I174" s="8">
        <v>126.5</v>
      </c>
      <c r="J174" s="8">
        <v>88</v>
      </c>
      <c r="K174" s="8">
        <v>88.7</v>
      </c>
      <c r="L174" s="8">
        <v>176.6</v>
      </c>
      <c r="M174" s="8">
        <v>7.2</v>
      </c>
      <c r="N174" s="8">
        <v>1.6</v>
      </c>
      <c r="O174" s="28">
        <f t="shared" si="2"/>
        <v>1151.1999999999998</v>
      </c>
    </row>
    <row r="175" spans="1:15" ht="15" customHeight="1" x14ac:dyDescent="0.3">
      <c r="A175" s="6" t="s">
        <v>237</v>
      </c>
      <c r="B175" s="6" t="s">
        <v>212</v>
      </c>
      <c r="C175" s="8">
        <v>132.1</v>
      </c>
      <c r="D175" s="8">
        <v>119.5</v>
      </c>
      <c r="E175" s="8">
        <v>130.1</v>
      </c>
      <c r="F175" s="8">
        <v>112.5</v>
      </c>
      <c r="G175" s="8">
        <v>96.7</v>
      </c>
      <c r="H175" s="8">
        <v>94.4</v>
      </c>
      <c r="I175" s="8">
        <v>100.9</v>
      </c>
      <c r="J175" s="8">
        <v>62.5</v>
      </c>
      <c r="K175" s="8">
        <v>57.6</v>
      </c>
      <c r="L175" s="8">
        <v>126.3</v>
      </c>
      <c r="M175" s="8">
        <v>78.599999999999994</v>
      </c>
      <c r="N175" s="8">
        <v>36.6</v>
      </c>
      <c r="O175" s="28">
        <f t="shared" si="2"/>
        <v>1147.7999999999997</v>
      </c>
    </row>
    <row r="176" spans="1:15" ht="15" customHeight="1" x14ac:dyDescent="0.3">
      <c r="A176" s="6" t="s">
        <v>238</v>
      </c>
      <c r="B176" s="6" t="s">
        <v>239</v>
      </c>
      <c r="C176" s="8">
        <v>110.5</v>
      </c>
      <c r="D176" s="8">
        <v>98.4</v>
      </c>
      <c r="E176" s="8">
        <v>86.4</v>
      </c>
      <c r="F176" s="8">
        <v>57.8</v>
      </c>
      <c r="G176" s="8">
        <v>42.3</v>
      </c>
      <c r="H176" s="8">
        <v>55.4</v>
      </c>
      <c r="I176" s="8">
        <v>111.4</v>
      </c>
      <c r="J176" s="8">
        <v>116</v>
      </c>
      <c r="K176" s="8">
        <v>130.6</v>
      </c>
      <c r="L176" s="8">
        <v>124.3</v>
      </c>
      <c r="M176" s="8">
        <v>104.7</v>
      </c>
      <c r="N176" s="8">
        <v>104.6</v>
      </c>
      <c r="O176" s="28">
        <f t="shared" si="2"/>
        <v>1142.3999999999999</v>
      </c>
    </row>
    <row r="177" spans="1:15" ht="15" customHeight="1" x14ac:dyDescent="0.3">
      <c r="A177" s="6" t="s">
        <v>241</v>
      </c>
      <c r="B177" s="6" t="s">
        <v>242</v>
      </c>
      <c r="C177" s="8">
        <v>156.69999999999999</v>
      </c>
      <c r="D177" s="8">
        <v>119.3</v>
      </c>
      <c r="E177" s="8">
        <v>139.5</v>
      </c>
      <c r="F177" s="8">
        <v>86.5</v>
      </c>
      <c r="G177" s="8">
        <v>63.2</v>
      </c>
      <c r="H177" s="8">
        <v>89.6</v>
      </c>
      <c r="I177" s="8">
        <v>99.7</v>
      </c>
      <c r="J177" s="8">
        <v>101.6</v>
      </c>
      <c r="K177" s="8">
        <v>138.1</v>
      </c>
      <c r="L177" s="8">
        <v>65.3</v>
      </c>
      <c r="M177" s="8">
        <v>36.1</v>
      </c>
      <c r="N177" s="8">
        <v>40.6</v>
      </c>
      <c r="O177" s="28">
        <f t="shared" si="2"/>
        <v>1136.2</v>
      </c>
    </row>
    <row r="178" spans="1:15" ht="15" customHeight="1" x14ac:dyDescent="0.3">
      <c r="A178" s="6" t="s">
        <v>244</v>
      </c>
      <c r="B178" s="6" t="s">
        <v>206</v>
      </c>
      <c r="C178" s="8">
        <v>112.1</v>
      </c>
      <c r="D178" s="8">
        <v>100.3</v>
      </c>
      <c r="E178" s="8">
        <v>107</v>
      </c>
      <c r="F178" s="8">
        <v>107.9</v>
      </c>
      <c r="G178" s="8">
        <v>101.3</v>
      </c>
      <c r="H178" s="8">
        <v>85</v>
      </c>
      <c r="I178" s="8">
        <v>80.8</v>
      </c>
      <c r="J178" s="8">
        <v>80.099999999999994</v>
      </c>
      <c r="K178" s="8">
        <v>85.4</v>
      </c>
      <c r="L178" s="8">
        <v>93</v>
      </c>
      <c r="M178" s="8">
        <v>87.7</v>
      </c>
      <c r="N178" s="8">
        <v>95.2</v>
      </c>
      <c r="O178" s="28">
        <f t="shared" si="2"/>
        <v>1135.8</v>
      </c>
    </row>
    <row r="179" spans="1:15" ht="15" customHeight="1" x14ac:dyDescent="0.3">
      <c r="A179" s="6" t="s">
        <v>245</v>
      </c>
      <c r="B179" s="6" t="s">
        <v>246</v>
      </c>
      <c r="C179" s="8">
        <v>95.8</v>
      </c>
      <c r="D179" s="8">
        <v>86.2</v>
      </c>
      <c r="E179" s="8">
        <v>101.7</v>
      </c>
      <c r="F179" s="8">
        <v>95.7</v>
      </c>
      <c r="G179" s="8">
        <v>103.5</v>
      </c>
      <c r="H179" s="8">
        <v>89.9</v>
      </c>
      <c r="I179" s="8">
        <v>96.6</v>
      </c>
      <c r="J179" s="8">
        <v>96.3</v>
      </c>
      <c r="K179" s="8">
        <v>93.9</v>
      </c>
      <c r="L179" s="8">
        <v>99.3</v>
      </c>
      <c r="M179" s="8">
        <v>93.7</v>
      </c>
      <c r="N179" s="8">
        <v>77.8</v>
      </c>
      <c r="O179" s="28">
        <f t="shared" si="2"/>
        <v>1130.3999999999999</v>
      </c>
    </row>
    <row r="180" spans="1:15" ht="15" customHeight="1" x14ac:dyDescent="0.3">
      <c r="A180" s="6" t="s">
        <v>481</v>
      </c>
      <c r="B180" s="6" t="s">
        <v>182</v>
      </c>
      <c r="C180" s="8">
        <v>160</v>
      </c>
      <c r="D180" s="8">
        <v>103.7</v>
      </c>
      <c r="E180" s="8">
        <v>104.9</v>
      </c>
      <c r="F180" s="8">
        <v>149.5</v>
      </c>
      <c r="G180" s="8">
        <v>115</v>
      </c>
      <c r="H180" s="8">
        <v>103.1</v>
      </c>
      <c r="I180" s="8">
        <v>96</v>
      </c>
      <c r="J180" s="8">
        <v>84.5</v>
      </c>
      <c r="K180" s="8">
        <v>114.1</v>
      </c>
      <c r="L180" s="8">
        <v>55.1</v>
      </c>
      <c r="M180" s="8">
        <v>30.9</v>
      </c>
      <c r="N180" s="8">
        <v>7.1</v>
      </c>
      <c r="O180" s="28">
        <f t="shared" si="2"/>
        <v>1123.8999999999999</v>
      </c>
    </row>
    <row r="181" spans="1:15" ht="15" customHeight="1" x14ac:dyDescent="0.3">
      <c r="A181" s="6" t="s">
        <v>248</v>
      </c>
      <c r="B181" s="6" t="s">
        <v>249</v>
      </c>
      <c r="C181" s="8">
        <v>90.1</v>
      </c>
      <c r="D181" s="8">
        <v>94.3</v>
      </c>
      <c r="E181" s="8">
        <v>91.8</v>
      </c>
      <c r="F181" s="8">
        <v>82.6</v>
      </c>
      <c r="G181" s="8">
        <v>70.900000000000006</v>
      </c>
      <c r="H181" s="8">
        <v>78.7</v>
      </c>
      <c r="I181" s="8">
        <v>108.8</v>
      </c>
      <c r="J181" s="8">
        <v>102.5</v>
      </c>
      <c r="K181" s="8">
        <v>90.8</v>
      </c>
      <c r="L181" s="8">
        <v>102.3</v>
      </c>
      <c r="M181" s="8">
        <v>98.1</v>
      </c>
      <c r="N181" s="8">
        <v>110.8</v>
      </c>
      <c r="O181" s="28">
        <f t="shared" si="2"/>
        <v>1121.6999999999998</v>
      </c>
    </row>
    <row r="182" spans="1:15" ht="15" customHeight="1" x14ac:dyDescent="0.3">
      <c r="A182" s="6" t="s">
        <v>251</v>
      </c>
      <c r="B182" s="6" t="s">
        <v>132</v>
      </c>
      <c r="C182" s="8">
        <v>75.5</v>
      </c>
      <c r="D182" s="8">
        <v>79.2</v>
      </c>
      <c r="E182" s="8">
        <v>89.3</v>
      </c>
      <c r="F182" s="8">
        <v>85.5</v>
      </c>
      <c r="G182" s="8">
        <v>37.4</v>
      </c>
      <c r="H182" s="8">
        <v>68.7</v>
      </c>
      <c r="I182" s="8">
        <v>89.9</v>
      </c>
      <c r="J182" s="8">
        <v>85.6</v>
      </c>
      <c r="K182" s="8">
        <v>116.2</v>
      </c>
      <c r="L182" s="8">
        <v>120.9</v>
      </c>
      <c r="M182" s="8">
        <v>124.1</v>
      </c>
      <c r="N182" s="8">
        <v>124</v>
      </c>
      <c r="O182" s="28">
        <f t="shared" si="2"/>
        <v>1096.3000000000002</v>
      </c>
    </row>
    <row r="183" spans="1:15" ht="15" customHeight="1" x14ac:dyDescent="0.3">
      <c r="A183" s="6" t="s">
        <v>252</v>
      </c>
      <c r="B183" s="6" t="s">
        <v>173</v>
      </c>
      <c r="C183" s="8">
        <v>103.1</v>
      </c>
      <c r="D183" s="8">
        <v>122.1</v>
      </c>
      <c r="E183" s="8">
        <v>106</v>
      </c>
      <c r="F183" s="8">
        <v>84.4</v>
      </c>
      <c r="G183" s="8">
        <v>84.7</v>
      </c>
      <c r="H183" s="8">
        <v>64.2</v>
      </c>
      <c r="I183" s="8">
        <v>90.7</v>
      </c>
      <c r="J183" s="8">
        <v>86.6</v>
      </c>
      <c r="K183" s="8">
        <v>83.7</v>
      </c>
      <c r="L183" s="8">
        <v>88.4</v>
      </c>
      <c r="M183" s="8">
        <v>83.3</v>
      </c>
      <c r="N183" s="8">
        <v>80.7</v>
      </c>
      <c r="O183" s="28">
        <f t="shared" si="2"/>
        <v>1077.9000000000001</v>
      </c>
    </row>
    <row r="184" spans="1:15" ht="15" customHeight="1" x14ac:dyDescent="0.3">
      <c r="A184" s="6" t="s">
        <v>253</v>
      </c>
      <c r="B184" s="6" t="s">
        <v>173</v>
      </c>
      <c r="C184" s="8">
        <v>148.6</v>
      </c>
      <c r="D184" s="8">
        <v>162.69999999999999</v>
      </c>
      <c r="E184" s="8">
        <v>140.6</v>
      </c>
      <c r="F184" s="8">
        <v>111.8</v>
      </c>
      <c r="G184" s="8">
        <v>95</v>
      </c>
      <c r="H184" s="8">
        <v>62.1</v>
      </c>
      <c r="I184" s="8">
        <v>63.5</v>
      </c>
      <c r="J184" s="8">
        <v>57.8</v>
      </c>
      <c r="K184" s="8">
        <v>55.8</v>
      </c>
      <c r="L184" s="8">
        <v>58.9</v>
      </c>
      <c r="M184" s="8">
        <v>55.5</v>
      </c>
      <c r="N184" s="8">
        <v>53.8</v>
      </c>
      <c r="O184" s="28">
        <f t="shared" si="2"/>
        <v>1066.0999999999999</v>
      </c>
    </row>
    <row r="185" spans="1:15" ht="15" customHeight="1" x14ac:dyDescent="0.3">
      <c r="A185" s="6" t="s">
        <v>254</v>
      </c>
      <c r="B185" s="6" t="s">
        <v>255</v>
      </c>
      <c r="C185" s="8">
        <v>99.7</v>
      </c>
      <c r="D185" s="8">
        <v>85.4</v>
      </c>
      <c r="E185" s="8">
        <v>106.5</v>
      </c>
      <c r="F185" s="8">
        <v>93.6</v>
      </c>
      <c r="G185" s="8">
        <v>71.3</v>
      </c>
      <c r="H185" s="8">
        <v>96.7</v>
      </c>
      <c r="I185" s="8">
        <v>131.5</v>
      </c>
      <c r="J185" s="8">
        <v>86.6</v>
      </c>
      <c r="K185" s="8">
        <v>64.3</v>
      </c>
      <c r="L185" s="8">
        <v>64.599999999999994</v>
      </c>
      <c r="M185" s="8">
        <v>67.599999999999994</v>
      </c>
      <c r="N185" s="8">
        <v>95</v>
      </c>
      <c r="O185" s="28">
        <f t="shared" si="2"/>
        <v>1062.8000000000002</v>
      </c>
    </row>
    <row r="186" spans="1:15" ht="15" customHeight="1" x14ac:dyDescent="0.3">
      <c r="A186" s="6" t="s">
        <v>257</v>
      </c>
      <c r="B186" s="6" t="s">
        <v>255</v>
      </c>
      <c r="C186" s="8">
        <v>85.3</v>
      </c>
      <c r="D186" s="8">
        <v>79.3</v>
      </c>
      <c r="E186" s="8">
        <v>142.5</v>
      </c>
      <c r="F186" s="8">
        <v>109.9</v>
      </c>
      <c r="G186" s="8">
        <v>79.2</v>
      </c>
      <c r="H186" s="8">
        <v>119.5</v>
      </c>
      <c r="I186" s="8">
        <v>99.4</v>
      </c>
      <c r="J186" s="8">
        <v>75.099999999999994</v>
      </c>
      <c r="K186" s="8">
        <v>50</v>
      </c>
      <c r="L186" s="8">
        <v>52.9</v>
      </c>
      <c r="M186" s="8">
        <v>67.5</v>
      </c>
      <c r="N186" s="8">
        <v>95</v>
      </c>
      <c r="O186" s="28">
        <f t="shared" si="2"/>
        <v>1055.5999999999999</v>
      </c>
    </row>
    <row r="187" spans="1:15" ht="15" customHeight="1" x14ac:dyDescent="0.3">
      <c r="A187" s="6" t="s">
        <v>258</v>
      </c>
      <c r="B187" s="6" t="s">
        <v>68</v>
      </c>
      <c r="C187" s="8">
        <v>131.9</v>
      </c>
      <c r="D187" s="8">
        <v>97.1</v>
      </c>
      <c r="E187" s="8">
        <v>108.3</v>
      </c>
      <c r="F187" s="8">
        <v>114</v>
      </c>
      <c r="G187" s="8">
        <v>122</v>
      </c>
      <c r="H187" s="8">
        <v>94.8</v>
      </c>
      <c r="I187" s="8">
        <v>69.5</v>
      </c>
      <c r="J187" s="8">
        <v>61.6</v>
      </c>
      <c r="K187" s="8">
        <v>57.4</v>
      </c>
      <c r="L187" s="8">
        <v>68.400000000000006</v>
      </c>
      <c r="M187" s="8">
        <v>57.6</v>
      </c>
      <c r="N187" s="8">
        <v>57.6</v>
      </c>
      <c r="O187" s="28">
        <f t="shared" si="2"/>
        <v>1040.1999999999998</v>
      </c>
    </row>
    <row r="188" spans="1:15" ht="15" customHeight="1" x14ac:dyDescent="0.3">
      <c r="A188" s="6" t="s">
        <v>259</v>
      </c>
      <c r="B188" s="6" t="s">
        <v>235</v>
      </c>
      <c r="C188" s="8">
        <v>59.9</v>
      </c>
      <c r="D188" s="8">
        <v>94.9</v>
      </c>
      <c r="E188" s="8">
        <v>101.1</v>
      </c>
      <c r="F188" s="8">
        <v>94.7</v>
      </c>
      <c r="G188" s="8">
        <v>99.4</v>
      </c>
      <c r="H188" s="8">
        <v>89</v>
      </c>
      <c r="I188" s="8">
        <v>88</v>
      </c>
      <c r="J188" s="8">
        <v>83.9</v>
      </c>
      <c r="K188" s="8">
        <v>83.7</v>
      </c>
      <c r="L188" s="8">
        <v>72.3</v>
      </c>
      <c r="M188" s="8">
        <v>80.8</v>
      </c>
      <c r="N188" s="8">
        <v>83.5</v>
      </c>
      <c r="O188" s="28">
        <f t="shared" si="2"/>
        <v>1031.1999999999998</v>
      </c>
    </row>
    <row r="189" spans="1:15" ht="15" customHeight="1" x14ac:dyDescent="0.3">
      <c r="A189" s="6" t="s">
        <v>260</v>
      </c>
      <c r="B189" s="6" t="s">
        <v>95</v>
      </c>
      <c r="C189" s="8">
        <v>66.3</v>
      </c>
      <c r="D189" s="8">
        <v>52.7</v>
      </c>
      <c r="E189" s="8">
        <v>61.2</v>
      </c>
      <c r="F189" s="8">
        <v>65.599999999999994</v>
      </c>
      <c r="G189" s="8">
        <v>58.1</v>
      </c>
      <c r="H189" s="8">
        <v>73.2</v>
      </c>
      <c r="I189" s="8">
        <v>75.2</v>
      </c>
      <c r="J189" s="8">
        <v>85.7</v>
      </c>
      <c r="K189" s="8">
        <v>118</v>
      </c>
      <c r="L189" s="8">
        <v>124.3</v>
      </c>
      <c r="M189" s="8">
        <v>119</v>
      </c>
      <c r="N189" s="8">
        <v>125</v>
      </c>
      <c r="O189" s="28">
        <f t="shared" si="2"/>
        <v>1024.3</v>
      </c>
    </row>
    <row r="190" spans="1:15" ht="15" customHeight="1" x14ac:dyDescent="0.3">
      <c r="A190" s="6" t="s">
        <v>261</v>
      </c>
      <c r="B190" s="6" t="s">
        <v>246</v>
      </c>
      <c r="C190" s="8">
        <v>89.4</v>
      </c>
      <c r="D190" s="8">
        <v>23.5</v>
      </c>
      <c r="E190" s="8">
        <v>82.9</v>
      </c>
      <c r="F190" s="8">
        <v>76.400000000000006</v>
      </c>
      <c r="G190" s="8">
        <v>82.6</v>
      </c>
      <c r="H190" s="8">
        <v>81.400000000000006</v>
      </c>
      <c r="I190" s="8">
        <v>95.4</v>
      </c>
      <c r="J190" s="8">
        <v>92.6</v>
      </c>
      <c r="K190" s="8">
        <v>105.6</v>
      </c>
      <c r="L190" s="8">
        <v>105.1</v>
      </c>
      <c r="M190" s="8">
        <v>100.9</v>
      </c>
      <c r="N190" s="8">
        <v>82.3</v>
      </c>
      <c r="O190" s="28">
        <f t="shared" si="2"/>
        <v>1018.1</v>
      </c>
    </row>
    <row r="191" spans="1:15" ht="15" customHeight="1" x14ac:dyDescent="0.3">
      <c r="A191" s="6" t="s">
        <v>262</v>
      </c>
      <c r="B191" s="6" t="s">
        <v>263</v>
      </c>
      <c r="C191" s="8">
        <v>70</v>
      </c>
      <c r="D191" s="8">
        <v>76.900000000000006</v>
      </c>
      <c r="E191" s="8">
        <v>85.7</v>
      </c>
      <c r="F191" s="8">
        <v>110.7</v>
      </c>
      <c r="G191" s="8">
        <v>97.9</v>
      </c>
      <c r="H191" s="8">
        <v>82.4</v>
      </c>
      <c r="I191" s="8">
        <v>85.5</v>
      </c>
      <c r="J191" s="8">
        <v>84.4</v>
      </c>
      <c r="K191" s="8">
        <v>83.6</v>
      </c>
      <c r="L191" s="8">
        <v>84.2</v>
      </c>
      <c r="M191" s="8">
        <v>75.099999999999994</v>
      </c>
      <c r="N191" s="8">
        <v>78.2</v>
      </c>
      <c r="O191" s="28">
        <f t="shared" si="2"/>
        <v>1014.6000000000001</v>
      </c>
    </row>
    <row r="192" spans="1:15" ht="15" customHeight="1" x14ac:dyDescent="0.3">
      <c r="A192" s="6" t="s">
        <v>265</v>
      </c>
      <c r="B192" s="6" t="s">
        <v>266</v>
      </c>
      <c r="C192" s="8">
        <v>112.6</v>
      </c>
      <c r="D192" s="8">
        <v>95.2</v>
      </c>
      <c r="E192" s="8">
        <v>108.2</v>
      </c>
      <c r="F192" s="8">
        <v>108.2</v>
      </c>
      <c r="G192" s="8">
        <v>122.6</v>
      </c>
      <c r="H192" s="8">
        <v>93.8</v>
      </c>
      <c r="I192" s="8">
        <v>70.599999999999994</v>
      </c>
      <c r="J192" s="8">
        <v>70.7</v>
      </c>
      <c r="K192" s="8">
        <v>72.8</v>
      </c>
      <c r="L192" s="8">
        <v>69.8</v>
      </c>
      <c r="M192" s="8">
        <v>54</v>
      </c>
      <c r="N192" s="8">
        <v>24.7</v>
      </c>
      <c r="O192" s="28">
        <f t="shared" si="2"/>
        <v>1003.1999999999999</v>
      </c>
    </row>
    <row r="193" spans="1:15" ht="15" customHeight="1" x14ac:dyDescent="0.3">
      <c r="A193" s="6" t="s">
        <v>268</v>
      </c>
      <c r="B193" s="6" t="s">
        <v>269</v>
      </c>
      <c r="C193" s="8">
        <v>84.5</v>
      </c>
      <c r="D193" s="8">
        <v>91.8</v>
      </c>
      <c r="E193" s="8">
        <v>91.9</v>
      </c>
      <c r="F193" s="8">
        <v>75.8</v>
      </c>
      <c r="G193" s="8">
        <v>90.3</v>
      </c>
      <c r="H193" s="8">
        <v>97.7</v>
      </c>
      <c r="I193" s="8">
        <v>98.4</v>
      </c>
      <c r="J193" s="8">
        <v>89.3</v>
      </c>
      <c r="K193" s="8">
        <v>100.8</v>
      </c>
      <c r="L193" s="8">
        <v>92.6</v>
      </c>
      <c r="M193" s="8">
        <v>53.1</v>
      </c>
      <c r="N193" s="8">
        <v>35.700000000000003</v>
      </c>
      <c r="O193" s="28">
        <f t="shared" si="2"/>
        <v>1001.9000000000001</v>
      </c>
    </row>
    <row r="194" spans="1:15" ht="15" customHeight="1" x14ac:dyDescent="0.3">
      <c r="A194" s="6" t="s">
        <v>271</v>
      </c>
      <c r="B194" s="6" t="s">
        <v>272</v>
      </c>
      <c r="C194" s="8">
        <v>84.9</v>
      </c>
      <c r="D194" s="8">
        <v>73.2</v>
      </c>
      <c r="E194" s="8">
        <v>89.1</v>
      </c>
      <c r="F194" s="8">
        <v>84.8</v>
      </c>
      <c r="G194" s="8">
        <v>89.5</v>
      </c>
      <c r="H194" s="8">
        <v>84</v>
      </c>
      <c r="I194" s="8">
        <v>88.5</v>
      </c>
      <c r="J194" s="8">
        <v>63.8</v>
      </c>
      <c r="K194" s="8">
        <v>88.5</v>
      </c>
      <c r="L194" s="8">
        <v>85.7</v>
      </c>
      <c r="M194" s="8">
        <v>90.5</v>
      </c>
      <c r="N194" s="8">
        <v>63.7</v>
      </c>
      <c r="O194" s="28">
        <f t="shared" si="2"/>
        <v>986.2</v>
      </c>
    </row>
    <row r="195" spans="1:15" ht="15" customHeight="1" x14ac:dyDescent="0.3">
      <c r="A195" s="6" t="s">
        <v>274</v>
      </c>
      <c r="B195" s="6" t="s">
        <v>275</v>
      </c>
      <c r="C195" s="8">
        <v>116.1</v>
      </c>
      <c r="D195" s="8">
        <v>89.3</v>
      </c>
      <c r="E195" s="8">
        <v>95.4</v>
      </c>
      <c r="F195" s="8">
        <v>81.5</v>
      </c>
      <c r="G195" s="8">
        <v>92.1</v>
      </c>
      <c r="H195" s="8">
        <v>61.5</v>
      </c>
      <c r="I195" s="8">
        <v>43.4</v>
      </c>
      <c r="J195" s="8">
        <v>42.2</v>
      </c>
      <c r="K195" s="8">
        <v>36.299999999999997</v>
      </c>
      <c r="L195" s="8">
        <v>50.8</v>
      </c>
      <c r="M195" s="8">
        <v>113.8</v>
      </c>
      <c r="N195" s="8">
        <v>162.4</v>
      </c>
      <c r="O195" s="28">
        <f t="shared" si="2"/>
        <v>984.79999999999984</v>
      </c>
    </row>
    <row r="196" spans="1:15" ht="15" customHeight="1" x14ac:dyDescent="0.3">
      <c r="A196" s="6" t="s">
        <v>277</v>
      </c>
      <c r="B196" s="6" t="s">
        <v>278</v>
      </c>
      <c r="C196" s="8">
        <v>94.8</v>
      </c>
      <c r="D196" s="8">
        <v>87</v>
      </c>
      <c r="E196" s="8">
        <v>88.7</v>
      </c>
      <c r="F196" s="8">
        <v>36.6</v>
      </c>
      <c r="G196" s="8">
        <v>78</v>
      </c>
      <c r="H196" s="8">
        <v>82.3</v>
      </c>
      <c r="I196" s="8">
        <v>83.9</v>
      </c>
      <c r="J196" s="8">
        <v>109.2</v>
      </c>
      <c r="K196" s="8">
        <v>91.8</v>
      </c>
      <c r="L196" s="8">
        <v>99.4</v>
      </c>
      <c r="M196" s="8">
        <v>59</v>
      </c>
      <c r="N196" s="8">
        <v>70.8</v>
      </c>
      <c r="O196" s="28">
        <f t="shared" ref="O196:O259" si="3">SUM(C196:N196)</f>
        <v>981.5</v>
      </c>
    </row>
    <row r="197" spans="1:15" ht="15" customHeight="1" x14ac:dyDescent="0.3">
      <c r="A197" s="6" t="s">
        <v>482</v>
      </c>
      <c r="B197" s="6" t="s">
        <v>367</v>
      </c>
      <c r="C197" s="8"/>
      <c r="D197" s="8"/>
      <c r="E197" s="8"/>
      <c r="F197" s="8"/>
      <c r="G197" s="8"/>
      <c r="H197" s="8">
        <v>378.6</v>
      </c>
      <c r="I197" s="8">
        <v>298.2</v>
      </c>
      <c r="J197" s="8">
        <v>247.6</v>
      </c>
      <c r="K197" s="8">
        <v>53.6</v>
      </c>
      <c r="L197" s="8"/>
      <c r="M197" s="8"/>
      <c r="N197" s="8"/>
      <c r="O197" s="28">
        <f t="shared" si="3"/>
        <v>978</v>
      </c>
    </row>
    <row r="198" spans="1:15" ht="15" customHeight="1" x14ac:dyDescent="0.3">
      <c r="A198" s="6" t="s">
        <v>280</v>
      </c>
      <c r="B198" s="6" t="s">
        <v>275</v>
      </c>
      <c r="C198" s="8">
        <v>132.1</v>
      </c>
      <c r="D198" s="8">
        <v>87.7</v>
      </c>
      <c r="E198" s="8">
        <v>93.2</v>
      </c>
      <c r="F198" s="8">
        <v>105.8</v>
      </c>
      <c r="G198" s="8">
        <v>134.19999999999999</v>
      </c>
      <c r="H198" s="8">
        <v>127.1</v>
      </c>
      <c r="I198" s="8">
        <v>41.7</v>
      </c>
      <c r="J198" s="8">
        <v>41.3</v>
      </c>
      <c r="K198" s="8">
        <v>26.1</v>
      </c>
      <c r="L198" s="8">
        <v>33.6</v>
      </c>
      <c r="M198" s="8">
        <v>77</v>
      </c>
      <c r="N198" s="8">
        <v>72.400000000000006</v>
      </c>
      <c r="O198" s="28">
        <f t="shared" si="3"/>
        <v>972.2</v>
      </c>
    </row>
    <row r="199" spans="1:15" ht="15" customHeight="1" x14ac:dyDescent="0.3">
      <c r="A199" s="6" t="s">
        <v>281</v>
      </c>
      <c r="B199" s="6" t="s">
        <v>123</v>
      </c>
      <c r="C199" s="8">
        <v>126.9</v>
      </c>
      <c r="D199" s="8">
        <v>92.4</v>
      </c>
      <c r="E199" s="8">
        <v>95.4</v>
      </c>
      <c r="F199" s="8">
        <v>81</v>
      </c>
      <c r="G199" s="8">
        <v>84.5</v>
      </c>
      <c r="H199" s="8">
        <v>83.4</v>
      </c>
      <c r="I199" s="8">
        <v>77.599999999999994</v>
      </c>
      <c r="J199" s="8">
        <v>70.2</v>
      </c>
      <c r="K199" s="8">
        <v>63.1</v>
      </c>
      <c r="L199" s="8">
        <v>68.400000000000006</v>
      </c>
      <c r="M199" s="8">
        <v>61.6</v>
      </c>
      <c r="N199" s="8">
        <v>60.8</v>
      </c>
      <c r="O199" s="28">
        <f t="shared" si="3"/>
        <v>965.30000000000007</v>
      </c>
    </row>
    <row r="200" spans="1:15" ht="15" customHeight="1" x14ac:dyDescent="0.3">
      <c r="A200" s="6" t="s">
        <v>282</v>
      </c>
      <c r="B200" s="6" t="s">
        <v>266</v>
      </c>
      <c r="C200" s="8">
        <v>115.4</v>
      </c>
      <c r="D200" s="8">
        <v>81</v>
      </c>
      <c r="E200" s="8">
        <v>49.4</v>
      </c>
      <c r="F200" s="8">
        <v>60</v>
      </c>
      <c r="G200" s="8">
        <v>83</v>
      </c>
      <c r="H200" s="8">
        <v>61.9</v>
      </c>
      <c r="I200" s="8">
        <v>66.8</v>
      </c>
      <c r="J200" s="8">
        <v>35.700000000000003</v>
      </c>
      <c r="K200" s="8">
        <v>78.2</v>
      </c>
      <c r="L200" s="8">
        <v>130.5</v>
      </c>
      <c r="M200" s="8">
        <v>99.5</v>
      </c>
      <c r="N200" s="8">
        <v>92.9</v>
      </c>
      <c r="O200" s="28">
        <f t="shared" si="3"/>
        <v>954.30000000000007</v>
      </c>
    </row>
    <row r="201" spans="1:15" ht="15" customHeight="1" x14ac:dyDescent="0.3">
      <c r="A201" s="6" t="s">
        <v>283</v>
      </c>
      <c r="B201" s="6" t="s">
        <v>217</v>
      </c>
      <c r="C201" s="8">
        <v>96.8</v>
      </c>
      <c r="D201" s="8">
        <v>90.3</v>
      </c>
      <c r="E201" s="8">
        <v>77.5</v>
      </c>
      <c r="F201" s="8">
        <v>83.8</v>
      </c>
      <c r="G201" s="8">
        <v>95.8</v>
      </c>
      <c r="H201" s="8">
        <v>53.4</v>
      </c>
      <c r="I201" s="8">
        <v>86.2</v>
      </c>
      <c r="J201" s="8">
        <v>87.4</v>
      </c>
      <c r="K201" s="8">
        <v>87.6</v>
      </c>
      <c r="L201" s="8">
        <v>53.5</v>
      </c>
      <c r="M201" s="8">
        <v>36.299999999999997</v>
      </c>
      <c r="N201" s="8">
        <v>92.2</v>
      </c>
      <c r="O201" s="28">
        <f t="shared" si="3"/>
        <v>940.80000000000007</v>
      </c>
    </row>
    <row r="202" spans="1:15" ht="15" customHeight="1" x14ac:dyDescent="0.3">
      <c r="A202" s="6" t="s">
        <v>380</v>
      </c>
      <c r="B202" s="6" t="s">
        <v>266</v>
      </c>
      <c r="C202" s="8">
        <v>19.399999999999999</v>
      </c>
      <c r="D202" s="8">
        <v>86.3</v>
      </c>
      <c r="E202" s="8">
        <v>98.9</v>
      </c>
      <c r="F202" s="8">
        <v>109.5</v>
      </c>
      <c r="G202" s="8">
        <v>110.3</v>
      </c>
      <c r="H202" s="8">
        <v>98.3</v>
      </c>
      <c r="I202" s="8">
        <v>80</v>
      </c>
      <c r="J202" s="8">
        <v>77.099999999999994</v>
      </c>
      <c r="K202" s="8">
        <v>89.5</v>
      </c>
      <c r="L202" s="8">
        <v>63.6</v>
      </c>
      <c r="M202" s="8">
        <v>68.2</v>
      </c>
      <c r="N202" s="8">
        <v>38</v>
      </c>
      <c r="O202" s="28">
        <f t="shared" si="3"/>
        <v>939.10000000000014</v>
      </c>
    </row>
    <row r="203" spans="1:15" ht="15" customHeight="1" x14ac:dyDescent="0.3">
      <c r="A203" s="6" t="s">
        <v>284</v>
      </c>
      <c r="B203" s="6" t="s">
        <v>135</v>
      </c>
      <c r="C203" s="8">
        <v>50.6</v>
      </c>
      <c r="D203" s="8">
        <v>65.8</v>
      </c>
      <c r="E203" s="8">
        <v>75.599999999999994</v>
      </c>
      <c r="F203" s="8">
        <v>78.8</v>
      </c>
      <c r="G203" s="8">
        <v>83.1</v>
      </c>
      <c r="H203" s="8">
        <v>76.8</v>
      </c>
      <c r="I203" s="8">
        <v>78.900000000000006</v>
      </c>
      <c r="J203" s="8">
        <v>77.099999999999994</v>
      </c>
      <c r="K203" s="8">
        <v>82.7</v>
      </c>
      <c r="L203" s="8">
        <v>87.7</v>
      </c>
      <c r="M203" s="8">
        <v>75.8</v>
      </c>
      <c r="N203" s="8">
        <v>81.599999999999994</v>
      </c>
      <c r="O203" s="28">
        <f t="shared" si="3"/>
        <v>914.50000000000011</v>
      </c>
    </row>
    <row r="204" spans="1:15" ht="15" customHeight="1" x14ac:dyDescent="0.3">
      <c r="A204" s="6" t="s">
        <v>285</v>
      </c>
      <c r="B204" s="6" t="s">
        <v>286</v>
      </c>
      <c r="C204" s="8">
        <v>87.7</v>
      </c>
      <c r="D204" s="8">
        <v>85.4</v>
      </c>
      <c r="E204" s="8">
        <v>95</v>
      </c>
      <c r="F204" s="8">
        <v>91.6</v>
      </c>
      <c r="G204" s="8">
        <v>69.5</v>
      </c>
      <c r="H204" s="8">
        <v>47.9</v>
      </c>
      <c r="I204" s="8">
        <v>65.900000000000006</v>
      </c>
      <c r="J204" s="8">
        <v>31.6</v>
      </c>
      <c r="K204" s="8">
        <v>73.599999999999994</v>
      </c>
      <c r="L204" s="8">
        <v>144.30000000000001</v>
      </c>
      <c r="M204" s="8">
        <v>113.7</v>
      </c>
      <c r="N204" s="8">
        <v>4.8</v>
      </c>
      <c r="O204" s="28">
        <f t="shared" si="3"/>
        <v>911</v>
      </c>
    </row>
    <row r="205" spans="1:15" ht="15" customHeight="1" x14ac:dyDescent="0.3">
      <c r="A205" s="6" t="s">
        <v>288</v>
      </c>
      <c r="B205" s="6" t="s">
        <v>289</v>
      </c>
      <c r="C205" s="8">
        <v>42.3</v>
      </c>
      <c r="D205" s="8">
        <v>57.8</v>
      </c>
      <c r="E205" s="8">
        <v>64.7</v>
      </c>
      <c r="F205" s="8">
        <v>66.099999999999994</v>
      </c>
      <c r="G205" s="8">
        <v>66.599999999999994</v>
      </c>
      <c r="H205" s="8">
        <v>53.2</v>
      </c>
      <c r="I205" s="8">
        <v>72.900000000000006</v>
      </c>
      <c r="J205" s="8">
        <v>67.5</v>
      </c>
      <c r="K205" s="8">
        <v>89.9</v>
      </c>
      <c r="L205" s="8">
        <v>89.5</v>
      </c>
      <c r="M205" s="8">
        <v>119.9</v>
      </c>
      <c r="N205" s="8">
        <v>113</v>
      </c>
      <c r="O205" s="28">
        <f t="shared" si="3"/>
        <v>903.4</v>
      </c>
    </row>
    <row r="206" spans="1:15" ht="15" customHeight="1" x14ac:dyDescent="0.3">
      <c r="A206" s="6" t="s">
        <v>291</v>
      </c>
      <c r="B206" s="6" t="s">
        <v>292</v>
      </c>
      <c r="C206" s="8">
        <v>105.8</v>
      </c>
      <c r="D206" s="8">
        <v>93.5</v>
      </c>
      <c r="E206" s="8">
        <v>64.8</v>
      </c>
      <c r="F206" s="8">
        <v>74.7</v>
      </c>
      <c r="G206" s="8">
        <v>104.3</v>
      </c>
      <c r="H206" s="8">
        <v>77.5</v>
      </c>
      <c r="I206" s="8">
        <v>62.4</v>
      </c>
      <c r="J206" s="8">
        <v>63.7</v>
      </c>
      <c r="K206" s="8">
        <v>62.1</v>
      </c>
      <c r="L206" s="8">
        <v>66.5</v>
      </c>
      <c r="M206" s="8">
        <v>63.2</v>
      </c>
      <c r="N206" s="8">
        <v>64.2</v>
      </c>
      <c r="O206" s="28">
        <f t="shared" si="3"/>
        <v>902.70000000000016</v>
      </c>
    </row>
    <row r="207" spans="1:15" ht="15" customHeight="1" x14ac:dyDescent="0.3">
      <c r="A207" s="6" t="s">
        <v>294</v>
      </c>
      <c r="B207" s="6" t="s">
        <v>68</v>
      </c>
      <c r="C207" s="8">
        <v>98.2</v>
      </c>
      <c r="D207" s="8">
        <v>91.8</v>
      </c>
      <c r="E207" s="8">
        <v>49.7</v>
      </c>
      <c r="F207" s="8">
        <v>37.4</v>
      </c>
      <c r="G207" s="8">
        <v>73.3</v>
      </c>
      <c r="H207" s="8">
        <v>74.599999999999994</v>
      </c>
      <c r="I207" s="8">
        <v>73.2</v>
      </c>
      <c r="J207" s="8">
        <v>74.099999999999994</v>
      </c>
      <c r="K207" s="8">
        <v>64.7</v>
      </c>
      <c r="L207" s="8">
        <v>85.3</v>
      </c>
      <c r="M207" s="8">
        <v>84.4</v>
      </c>
      <c r="N207" s="8">
        <v>95.9</v>
      </c>
      <c r="O207" s="28">
        <f t="shared" si="3"/>
        <v>902.59999999999991</v>
      </c>
    </row>
    <row r="208" spans="1:15" ht="15" customHeight="1" x14ac:dyDescent="0.3">
      <c r="A208" s="6" t="s">
        <v>295</v>
      </c>
      <c r="B208" s="6" t="s">
        <v>296</v>
      </c>
      <c r="C208" s="8">
        <v>76.2</v>
      </c>
      <c r="D208" s="8">
        <v>70.599999999999994</v>
      </c>
      <c r="E208" s="8">
        <v>83.2</v>
      </c>
      <c r="F208" s="8">
        <v>60.7</v>
      </c>
      <c r="G208" s="8">
        <v>57.6</v>
      </c>
      <c r="H208" s="8">
        <v>56.2</v>
      </c>
      <c r="I208" s="8">
        <v>80.8</v>
      </c>
      <c r="J208" s="8">
        <v>85.8</v>
      </c>
      <c r="K208" s="8">
        <v>79.7</v>
      </c>
      <c r="L208" s="8">
        <v>87</v>
      </c>
      <c r="M208" s="8">
        <v>82.6</v>
      </c>
      <c r="N208" s="8">
        <v>80.599999999999994</v>
      </c>
      <c r="O208" s="28">
        <f t="shared" si="3"/>
        <v>901.00000000000011</v>
      </c>
    </row>
    <row r="209" spans="1:15" ht="15" customHeight="1" x14ac:dyDescent="0.3">
      <c r="A209" s="6" t="s">
        <v>298</v>
      </c>
      <c r="B209" s="6" t="s">
        <v>299</v>
      </c>
      <c r="C209" s="8">
        <v>76</v>
      </c>
      <c r="D209" s="8">
        <v>67.2</v>
      </c>
      <c r="E209" s="8">
        <v>74.900000000000006</v>
      </c>
      <c r="F209" s="8">
        <v>71.7</v>
      </c>
      <c r="G209" s="8">
        <v>74.7</v>
      </c>
      <c r="H209" s="8">
        <v>76.2</v>
      </c>
      <c r="I209" s="8">
        <v>81.099999999999994</v>
      </c>
      <c r="J209" s="8">
        <v>80.8</v>
      </c>
      <c r="K209" s="8">
        <v>73.3</v>
      </c>
      <c r="L209" s="8">
        <v>73.099999999999994</v>
      </c>
      <c r="M209" s="8">
        <v>77.8</v>
      </c>
      <c r="N209" s="8">
        <v>68</v>
      </c>
      <c r="O209" s="28">
        <f t="shared" si="3"/>
        <v>894.79999999999984</v>
      </c>
    </row>
    <row r="210" spans="1:15" ht="15" customHeight="1" x14ac:dyDescent="0.3">
      <c r="A210" s="6" t="s">
        <v>301</v>
      </c>
      <c r="B210" s="6" t="s">
        <v>302</v>
      </c>
      <c r="C210" s="8">
        <v>6</v>
      </c>
      <c r="D210" s="8">
        <v>102</v>
      </c>
      <c r="E210" s="8">
        <v>134</v>
      </c>
      <c r="F210" s="8">
        <v>82.2</v>
      </c>
      <c r="G210" s="8">
        <v>75.599999999999994</v>
      </c>
      <c r="H210" s="8">
        <v>70.900000000000006</v>
      </c>
      <c r="I210" s="8">
        <v>61.7</v>
      </c>
      <c r="J210" s="8">
        <v>45.3</v>
      </c>
      <c r="K210" s="8">
        <v>46.5</v>
      </c>
      <c r="L210" s="8">
        <v>93.8</v>
      </c>
      <c r="M210" s="8">
        <v>90.9</v>
      </c>
      <c r="N210" s="8">
        <v>79.599999999999994</v>
      </c>
      <c r="O210" s="28">
        <f t="shared" si="3"/>
        <v>888.49999999999989</v>
      </c>
    </row>
    <row r="211" spans="1:15" ht="15" customHeight="1" x14ac:dyDescent="0.3">
      <c r="A211" s="6" t="s">
        <v>304</v>
      </c>
      <c r="B211" s="6" t="s">
        <v>235</v>
      </c>
      <c r="C211" s="8">
        <v>56.3</v>
      </c>
      <c r="D211" s="8">
        <v>84.3</v>
      </c>
      <c r="E211" s="8">
        <v>89.7</v>
      </c>
      <c r="F211" s="8">
        <v>87.4</v>
      </c>
      <c r="G211" s="8">
        <v>80.8</v>
      </c>
      <c r="H211" s="8">
        <v>81.8</v>
      </c>
      <c r="I211" s="8">
        <v>82.7</v>
      </c>
      <c r="J211" s="8">
        <v>55.9</v>
      </c>
      <c r="K211" s="8">
        <v>45.7</v>
      </c>
      <c r="L211" s="8">
        <v>57.3</v>
      </c>
      <c r="M211" s="8">
        <v>69</v>
      </c>
      <c r="N211" s="8">
        <v>72.599999999999994</v>
      </c>
      <c r="O211" s="28">
        <f t="shared" si="3"/>
        <v>863.50000000000011</v>
      </c>
    </row>
    <row r="212" spans="1:15" ht="15" customHeight="1" x14ac:dyDescent="0.3">
      <c r="A212" s="6" t="s">
        <v>305</v>
      </c>
      <c r="B212" s="6" t="s">
        <v>185</v>
      </c>
      <c r="C212" s="8">
        <v>165.8</v>
      </c>
      <c r="D212" s="8">
        <v>142.4</v>
      </c>
      <c r="E212" s="8">
        <v>164.7</v>
      </c>
      <c r="F212" s="8">
        <v>131.1</v>
      </c>
      <c r="G212" s="8">
        <v>49.4</v>
      </c>
      <c r="H212" s="8">
        <v>23.1</v>
      </c>
      <c r="I212" s="8">
        <v>24.9</v>
      </c>
      <c r="J212" s="8">
        <v>25.6</v>
      </c>
      <c r="K212" s="8">
        <v>31.9</v>
      </c>
      <c r="L212" s="8">
        <v>36.4</v>
      </c>
      <c r="M212" s="8">
        <v>32.6</v>
      </c>
      <c r="N212" s="8">
        <v>31.7</v>
      </c>
      <c r="O212" s="28">
        <f t="shared" si="3"/>
        <v>859.6</v>
      </c>
    </row>
    <row r="213" spans="1:15" ht="15" customHeight="1" x14ac:dyDescent="0.3">
      <c r="A213" s="6" t="s">
        <v>306</v>
      </c>
      <c r="B213" s="6" t="s">
        <v>307</v>
      </c>
      <c r="C213" s="8">
        <v>83.4</v>
      </c>
      <c r="D213" s="8">
        <v>79.7</v>
      </c>
      <c r="E213" s="8">
        <v>84.7</v>
      </c>
      <c r="F213" s="8">
        <v>68.400000000000006</v>
      </c>
      <c r="G213" s="8">
        <v>54.9</v>
      </c>
      <c r="H213" s="8">
        <v>31.7</v>
      </c>
      <c r="I213" s="8">
        <v>22.2</v>
      </c>
      <c r="J213" s="8">
        <v>24.2</v>
      </c>
      <c r="K213" s="8">
        <v>54.3</v>
      </c>
      <c r="L213" s="8">
        <v>90.7</v>
      </c>
      <c r="M213" s="8">
        <v>131.9</v>
      </c>
      <c r="N213" s="8">
        <v>123.2</v>
      </c>
      <c r="O213" s="28">
        <f t="shared" si="3"/>
        <v>849.30000000000007</v>
      </c>
    </row>
    <row r="214" spans="1:15" ht="15" customHeight="1" x14ac:dyDescent="0.3">
      <c r="A214" s="6" t="s">
        <v>381</v>
      </c>
      <c r="B214" s="6" t="s">
        <v>68</v>
      </c>
      <c r="C214" s="8">
        <v>12</v>
      </c>
      <c r="D214" s="8">
        <v>70.900000000000006</v>
      </c>
      <c r="E214" s="8">
        <v>64.2</v>
      </c>
      <c r="F214" s="8">
        <v>64</v>
      </c>
      <c r="G214" s="8">
        <v>74.3</v>
      </c>
      <c r="H214" s="8">
        <v>83.5</v>
      </c>
      <c r="I214" s="8">
        <v>97.1</v>
      </c>
      <c r="J214" s="8">
        <v>84.7</v>
      </c>
      <c r="K214" s="8">
        <v>84.1</v>
      </c>
      <c r="L214" s="8">
        <v>65.2</v>
      </c>
      <c r="M214" s="8">
        <v>62.1</v>
      </c>
      <c r="N214" s="8">
        <v>72</v>
      </c>
      <c r="O214" s="28">
        <f t="shared" si="3"/>
        <v>834.10000000000014</v>
      </c>
    </row>
    <row r="215" spans="1:15" ht="15" customHeight="1" x14ac:dyDescent="0.3">
      <c r="A215" s="6" t="s">
        <v>309</v>
      </c>
      <c r="B215" s="6" t="s">
        <v>185</v>
      </c>
      <c r="C215" s="8">
        <v>78.2</v>
      </c>
      <c r="D215" s="8">
        <v>72.3</v>
      </c>
      <c r="E215" s="8">
        <v>92.9</v>
      </c>
      <c r="F215" s="8">
        <v>105.4</v>
      </c>
      <c r="G215" s="8">
        <v>63.8</v>
      </c>
      <c r="H215" s="8">
        <v>77.8</v>
      </c>
      <c r="I215" s="8">
        <v>100.8</v>
      </c>
      <c r="J215" s="8">
        <v>51.1</v>
      </c>
      <c r="K215" s="8">
        <v>45.4</v>
      </c>
      <c r="L215" s="8">
        <v>47.8</v>
      </c>
      <c r="M215" s="8">
        <v>25</v>
      </c>
      <c r="N215" s="8">
        <v>18.5</v>
      </c>
      <c r="O215" s="28">
        <f t="shared" si="3"/>
        <v>779</v>
      </c>
    </row>
    <row r="216" spans="1:15" ht="15" customHeight="1" x14ac:dyDescent="0.3">
      <c r="A216" s="6" t="s">
        <v>310</v>
      </c>
      <c r="B216" s="6" t="s">
        <v>311</v>
      </c>
      <c r="C216" s="8">
        <v>89.5</v>
      </c>
      <c r="D216" s="8">
        <v>77</v>
      </c>
      <c r="E216" s="8">
        <v>88.9</v>
      </c>
      <c r="F216" s="8">
        <v>80.5</v>
      </c>
      <c r="G216" s="8">
        <v>85.1</v>
      </c>
      <c r="H216" s="8">
        <v>28.1</v>
      </c>
      <c r="I216" s="8">
        <v>73.599999999999994</v>
      </c>
      <c r="J216" s="8">
        <v>68</v>
      </c>
      <c r="K216" s="8">
        <v>85.8</v>
      </c>
      <c r="L216" s="8">
        <v>88.7</v>
      </c>
      <c r="M216" s="8">
        <v>4.3</v>
      </c>
      <c r="N216" s="8">
        <v>4.5</v>
      </c>
      <c r="O216" s="28">
        <f t="shared" si="3"/>
        <v>774</v>
      </c>
    </row>
    <row r="217" spans="1:15" ht="15" customHeight="1" x14ac:dyDescent="0.3">
      <c r="A217" s="6" t="s">
        <v>382</v>
      </c>
      <c r="B217" s="6" t="s">
        <v>315</v>
      </c>
      <c r="C217" s="8">
        <v>43.9</v>
      </c>
      <c r="D217" s="8">
        <v>112.3</v>
      </c>
      <c r="E217" s="8">
        <v>124.6</v>
      </c>
      <c r="F217" s="8">
        <v>64.099999999999994</v>
      </c>
      <c r="G217" s="8">
        <v>77</v>
      </c>
      <c r="H217" s="8">
        <v>77.599999999999994</v>
      </c>
      <c r="I217" s="8">
        <v>57.5</v>
      </c>
      <c r="J217" s="8">
        <v>36.299999999999997</v>
      </c>
      <c r="K217" s="8">
        <v>35.6</v>
      </c>
      <c r="L217" s="8">
        <v>35.299999999999997</v>
      </c>
      <c r="M217" s="8">
        <v>50.3</v>
      </c>
      <c r="N217" s="8">
        <v>45.3</v>
      </c>
      <c r="O217" s="28">
        <f t="shared" si="3"/>
        <v>759.79999999999984</v>
      </c>
    </row>
    <row r="218" spans="1:15" ht="15" customHeight="1" x14ac:dyDescent="0.3">
      <c r="A218" s="6" t="s">
        <v>313</v>
      </c>
      <c r="B218" s="6" t="s">
        <v>89</v>
      </c>
      <c r="C218" s="8">
        <v>136.4</v>
      </c>
      <c r="D218" s="8">
        <v>123.5</v>
      </c>
      <c r="E218" s="8">
        <v>128.69999999999999</v>
      </c>
      <c r="F218" s="8">
        <v>67.599999999999994</v>
      </c>
      <c r="G218" s="8">
        <v>42.9</v>
      </c>
      <c r="H218" s="8">
        <v>30</v>
      </c>
      <c r="I218" s="8">
        <v>29.4</v>
      </c>
      <c r="J218" s="8">
        <v>30.6</v>
      </c>
      <c r="K218" s="8">
        <v>62.5</v>
      </c>
      <c r="L218" s="8">
        <v>47.5</v>
      </c>
      <c r="M218" s="8">
        <v>33.1</v>
      </c>
      <c r="N218" s="8">
        <v>24.7</v>
      </c>
      <c r="O218" s="28">
        <f t="shared" si="3"/>
        <v>756.9</v>
      </c>
    </row>
    <row r="219" spans="1:15" ht="15" customHeight="1" x14ac:dyDescent="0.3">
      <c r="A219" s="6" t="s">
        <v>314</v>
      </c>
      <c r="B219" s="6" t="s">
        <v>315</v>
      </c>
      <c r="C219" s="8">
        <v>75.5</v>
      </c>
      <c r="D219" s="8">
        <v>69</v>
      </c>
      <c r="E219" s="8">
        <v>70.900000000000006</v>
      </c>
      <c r="F219" s="8">
        <v>71.599999999999994</v>
      </c>
      <c r="G219" s="8">
        <v>73.5</v>
      </c>
      <c r="H219" s="8">
        <v>64.099999999999994</v>
      </c>
      <c r="I219" s="8">
        <v>24.2</v>
      </c>
      <c r="J219" s="8">
        <v>22.8</v>
      </c>
      <c r="K219" s="8">
        <v>46.7</v>
      </c>
      <c r="L219" s="8">
        <v>73.599999999999994</v>
      </c>
      <c r="M219" s="8">
        <v>84.4</v>
      </c>
      <c r="N219" s="8">
        <v>79.400000000000006</v>
      </c>
      <c r="O219" s="28">
        <f t="shared" si="3"/>
        <v>755.7</v>
      </c>
    </row>
    <row r="220" spans="1:15" ht="15" customHeight="1" x14ac:dyDescent="0.3">
      <c r="A220" s="6" t="s">
        <v>317</v>
      </c>
      <c r="B220" s="6" t="s">
        <v>225</v>
      </c>
      <c r="C220" s="8">
        <v>94.1</v>
      </c>
      <c r="D220" s="8">
        <v>68.599999999999994</v>
      </c>
      <c r="E220" s="8">
        <v>73.400000000000006</v>
      </c>
      <c r="F220" s="8">
        <v>90</v>
      </c>
      <c r="G220" s="8">
        <v>38.6</v>
      </c>
      <c r="H220" s="8">
        <v>31.4</v>
      </c>
      <c r="I220" s="8">
        <v>87.1</v>
      </c>
      <c r="J220" s="8">
        <v>82.6</v>
      </c>
      <c r="K220" s="8">
        <v>56.4</v>
      </c>
      <c r="L220" s="8">
        <v>37.200000000000003</v>
      </c>
      <c r="M220" s="8">
        <v>34.9</v>
      </c>
      <c r="N220" s="8">
        <v>49.3</v>
      </c>
      <c r="O220" s="28">
        <f t="shared" si="3"/>
        <v>743.6</v>
      </c>
    </row>
    <row r="221" spans="1:15" ht="15" customHeight="1" x14ac:dyDescent="0.3">
      <c r="A221" s="6" t="s">
        <v>318</v>
      </c>
      <c r="B221" s="6" t="s">
        <v>95</v>
      </c>
      <c r="C221" s="8">
        <v>85.8</v>
      </c>
      <c r="D221" s="8">
        <v>80.900000000000006</v>
      </c>
      <c r="E221" s="8">
        <v>23.6</v>
      </c>
      <c r="F221" s="8">
        <v>28.7</v>
      </c>
      <c r="G221" s="8">
        <v>56.3</v>
      </c>
      <c r="H221" s="8">
        <v>54.3</v>
      </c>
      <c r="I221" s="8">
        <v>64.400000000000006</v>
      </c>
      <c r="J221" s="8">
        <v>67.7</v>
      </c>
      <c r="K221" s="8">
        <v>65.3</v>
      </c>
      <c r="L221" s="8">
        <v>70</v>
      </c>
      <c r="M221" s="8">
        <v>65.099999999999994</v>
      </c>
      <c r="N221" s="8">
        <v>61.2</v>
      </c>
      <c r="O221" s="28">
        <f t="shared" si="3"/>
        <v>723.30000000000007</v>
      </c>
    </row>
    <row r="222" spans="1:15" ht="15" customHeight="1" x14ac:dyDescent="0.3">
      <c r="A222" s="6" t="s">
        <v>319</v>
      </c>
      <c r="B222" s="6" t="s">
        <v>315</v>
      </c>
      <c r="C222" s="8">
        <v>84.1</v>
      </c>
      <c r="D222" s="8">
        <v>63.3</v>
      </c>
      <c r="E222" s="8">
        <v>71.8</v>
      </c>
      <c r="F222" s="8">
        <v>91.7</v>
      </c>
      <c r="G222" s="8">
        <v>86</v>
      </c>
      <c r="H222" s="8">
        <v>48.7</v>
      </c>
      <c r="I222" s="8">
        <v>59.4</v>
      </c>
      <c r="J222" s="8">
        <v>31.5</v>
      </c>
      <c r="K222" s="8">
        <v>21.5</v>
      </c>
      <c r="L222" s="8">
        <v>29.2</v>
      </c>
      <c r="M222" s="8">
        <v>67.3</v>
      </c>
      <c r="N222" s="8">
        <v>64.599999999999994</v>
      </c>
      <c r="O222" s="28">
        <f t="shared" si="3"/>
        <v>719.1</v>
      </c>
    </row>
    <row r="223" spans="1:15" ht="15" customHeight="1" x14ac:dyDescent="0.3">
      <c r="A223" s="6" t="s">
        <v>320</v>
      </c>
      <c r="B223" s="6" t="s">
        <v>159</v>
      </c>
      <c r="C223" s="8">
        <v>68</v>
      </c>
      <c r="D223" s="8">
        <v>65.2</v>
      </c>
      <c r="E223" s="8">
        <v>69.3</v>
      </c>
      <c r="F223" s="8">
        <v>41.7</v>
      </c>
      <c r="G223" s="8">
        <v>37.1</v>
      </c>
      <c r="H223" s="8">
        <v>52.9</v>
      </c>
      <c r="I223" s="8">
        <v>66.5</v>
      </c>
      <c r="J223" s="8">
        <v>69.400000000000006</v>
      </c>
      <c r="K223" s="8">
        <v>64.2</v>
      </c>
      <c r="L223" s="8">
        <v>69.099999999999994</v>
      </c>
      <c r="M223" s="8">
        <v>61.3</v>
      </c>
      <c r="N223" s="8">
        <v>48.6</v>
      </c>
      <c r="O223" s="28">
        <f t="shared" si="3"/>
        <v>713.30000000000007</v>
      </c>
    </row>
    <row r="224" spans="1:15" ht="15" customHeight="1" x14ac:dyDescent="0.3">
      <c r="A224" s="6" t="s">
        <v>410</v>
      </c>
      <c r="B224" s="6" t="s">
        <v>55</v>
      </c>
      <c r="C224" s="8">
        <v>19</v>
      </c>
      <c r="D224" s="8">
        <v>102.1</v>
      </c>
      <c r="E224" s="8">
        <v>278</v>
      </c>
      <c r="F224" s="8">
        <v>173.4</v>
      </c>
      <c r="G224" s="8">
        <v>65.900000000000006</v>
      </c>
      <c r="H224" s="8">
        <v>15.4</v>
      </c>
      <c r="I224" s="8"/>
      <c r="J224" s="8"/>
      <c r="K224" s="8"/>
      <c r="L224" s="8">
        <v>20.399999999999999</v>
      </c>
      <c r="M224" s="8">
        <v>9.3000000000000007</v>
      </c>
      <c r="N224" s="8">
        <v>25.7</v>
      </c>
      <c r="O224" s="28">
        <f t="shared" si="3"/>
        <v>709.19999999999993</v>
      </c>
    </row>
    <row r="225" spans="1:15" ht="15" customHeight="1" x14ac:dyDescent="0.3">
      <c r="A225" s="6" t="s">
        <v>321</v>
      </c>
      <c r="B225" s="6" t="s">
        <v>322</v>
      </c>
      <c r="C225" s="8">
        <v>63.3</v>
      </c>
      <c r="D225" s="8">
        <v>48.5</v>
      </c>
      <c r="E225" s="8">
        <v>51.8</v>
      </c>
      <c r="F225" s="8">
        <v>54.8</v>
      </c>
      <c r="G225" s="8">
        <v>52.5</v>
      </c>
      <c r="H225" s="8">
        <v>51.7</v>
      </c>
      <c r="I225" s="8">
        <v>55.7</v>
      </c>
      <c r="J225" s="8">
        <v>55.4</v>
      </c>
      <c r="K225" s="8">
        <v>57.3</v>
      </c>
      <c r="L225" s="8">
        <v>60.6</v>
      </c>
      <c r="M225" s="8">
        <v>59.7</v>
      </c>
      <c r="N225" s="8">
        <v>60.4</v>
      </c>
      <c r="O225" s="28">
        <f t="shared" si="3"/>
        <v>671.69999999999993</v>
      </c>
    </row>
    <row r="226" spans="1:15" ht="15" customHeight="1" x14ac:dyDescent="0.3">
      <c r="A226" s="6" t="s">
        <v>324</v>
      </c>
      <c r="B226" s="6" t="s">
        <v>325</v>
      </c>
      <c r="C226" s="8">
        <v>86.3</v>
      </c>
      <c r="D226" s="8">
        <v>58</v>
      </c>
      <c r="E226" s="8">
        <v>69.3</v>
      </c>
      <c r="F226" s="8">
        <v>82.8</v>
      </c>
      <c r="G226" s="8">
        <v>76</v>
      </c>
      <c r="H226" s="8">
        <v>40.700000000000003</v>
      </c>
      <c r="I226" s="8">
        <v>38.299999999999997</v>
      </c>
      <c r="J226" s="8">
        <v>48.6</v>
      </c>
      <c r="K226" s="8">
        <v>51.6</v>
      </c>
      <c r="L226" s="8">
        <v>30.1</v>
      </c>
      <c r="M226" s="8">
        <v>22.5</v>
      </c>
      <c r="N226" s="8">
        <v>15.8</v>
      </c>
      <c r="O226" s="28">
        <f t="shared" si="3"/>
        <v>620</v>
      </c>
    </row>
    <row r="227" spans="1:15" ht="15" customHeight="1" x14ac:dyDescent="0.3">
      <c r="A227" s="6" t="s">
        <v>412</v>
      </c>
      <c r="B227" s="6" t="s">
        <v>275</v>
      </c>
      <c r="C227" s="8">
        <v>40</v>
      </c>
      <c r="D227" s="8">
        <v>28</v>
      </c>
      <c r="E227" s="8">
        <v>39.4</v>
      </c>
      <c r="F227" s="8">
        <v>35.799999999999997</v>
      </c>
      <c r="G227" s="8">
        <v>50.3</v>
      </c>
      <c r="H227" s="8">
        <v>63.5</v>
      </c>
      <c r="I227" s="8">
        <v>73.2</v>
      </c>
      <c r="J227" s="8">
        <v>65</v>
      </c>
      <c r="K227" s="8">
        <v>55.6</v>
      </c>
      <c r="L227" s="8">
        <v>79.099999999999994</v>
      </c>
      <c r="M227" s="8">
        <v>54.9</v>
      </c>
      <c r="N227" s="8">
        <v>6.2</v>
      </c>
      <c r="O227" s="28">
        <f t="shared" si="3"/>
        <v>591</v>
      </c>
    </row>
    <row r="228" spans="1:15" ht="15" customHeight="1" x14ac:dyDescent="0.3">
      <c r="A228" s="6" t="s">
        <v>327</v>
      </c>
      <c r="B228" s="6" t="s">
        <v>85</v>
      </c>
      <c r="C228" s="8">
        <v>47.8</v>
      </c>
      <c r="D228" s="8">
        <v>49.3</v>
      </c>
      <c r="E228" s="8">
        <v>51.3</v>
      </c>
      <c r="F228" s="8">
        <v>51.4</v>
      </c>
      <c r="G228" s="8">
        <v>56.1</v>
      </c>
      <c r="H228" s="8">
        <v>42.7</v>
      </c>
      <c r="I228" s="8">
        <v>45.4</v>
      </c>
      <c r="J228" s="8">
        <v>49.5</v>
      </c>
      <c r="K228" s="8">
        <v>48</v>
      </c>
      <c r="L228" s="8">
        <v>48.9</v>
      </c>
      <c r="M228" s="8">
        <v>47.4</v>
      </c>
      <c r="N228" s="8">
        <v>47.4</v>
      </c>
      <c r="O228" s="28">
        <f t="shared" si="3"/>
        <v>585.19999999999993</v>
      </c>
    </row>
    <row r="229" spans="1:15" ht="15" customHeight="1" x14ac:dyDescent="0.3">
      <c r="A229" s="6" t="s">
        <v>328</v>
      </c>
      <c r="B229" s="6" t="s">
        <v>85</v>
      </c>
      <c r="C229" s="8">
        <v>51.2</v>
      </c>
      <c r="D229" s="8">
        <v>46.3</v>
      </c>
      <c r="E229" s="8">
        <v>48.1</v>
      </c>
      <c r="F229" s="8">
        <v>48.3</v>
      </c>
      <c r="G229" s="8">
        <v>50.9</v>
      </c>
      <c r="H229" s="8">
        <v>46.1</v>
      </c>
      <c r="I229" s="8">
        <v>44.1</v>
      </c>
      <c r="J229" s="8">
        <v>50</v>
      </c>
      <c r="K229" s="8">
        <v>46.6</v>
      </c>
      <c r="L229" s="8">
        <v>48.2</v>
      </c>
      <c r="M229" s="8">
        <v>44.4</v>
      </c>
      <c r="N229" s="8">
        <v>46.2</v>
      </c>
      <c r="O229" s="28">
        <f t="shared" si="3"/>
        <v>570.40000000000009</v>
      </c>
    </row>
    <row r="230" spans="1:15" ht="15" customHeight="1" x14ac:dyDescent="0.3">
      <c r="A230" s="6" t="s">
        <v>329</v>
      </c>
      <c r="B230" s="6" t="s">
        <v>80</v>
      </c>
      <c r="C230" s="8">
        <v>49.8</v>
      </c>
      <c r="D230" s="8">
        <v>45.7</v>
      </c>
      <c r="E230" s="8">
        <v>53.9</v>
      </c>
      <c r="F230" s="8">
        <v>29.6</v>
      </c>
      <c r="G230" s="8">
        <v>42.9</v>
      </c>
      <c r="H230" s="8">
        <v>57.3</v>
      </c>
      <c r="I230" s="8">
        <v>45.2</v>
      </c>
      <c r="J230" s="8">
        <v>45.4</v>
      </c>
      <c r="K230" s="8">
        <v>47.7</v>
      </c>
      <c r="L230" s="8">
        <v>43.6</v>
      </c>
      <c r="M230" s="8">
        <v>53.7</v>
      </c>
      <c r="N230" s="8">
        <v>55.6</v>
      </c>
      <c r="O230" s="28">
        <f t="shared" si="3"/>
        <v>570.4</v>
      </c>
    </row>
    <row r="231" spans="1:15" ht="15" customHeight="1" x14ac:dyDescent="0.3">
      <c r="A231" s="6" t="s">
        <v>330</v>
      </c>
      <c r="B231" s="6" t="s">
        <v>85</v>
      </c>
      <c r="C231" s="8">
        <v>46.8</v>
      </c>
      <c r="D231" s="8">
        <v>41.6</v>
      </c>
      <c r="E231" s="8">
        <v>44</v>
      </c>
      <c r="F231" s="8">
        <v>44.2</v>
      </c>
      <c r="G231" s="8">
        <v>47.4</v>
      </c>
      <c r="H231" s="8">
        <v>42.2</v>
      </c>
      <c r="I231" s="8">
        <v>39.9</v>
      </c>
      <c r="J231" s="8">
        <v>45.7</v>
      </c>
      <c r="K231" s="8">
        <v>40.5</v>
      </c>
      <c r="L231" s="8">
        <v>41.7</v>
      </c>
      <c r="M231" s="8">
        <v>59.8</v>
      </c>
      <c r="N231" s="8">
        <v>76.3</v>
      </c>
      <c r="O231" s="28">
        <f t="shared" si="3"/>
        <v>570.1</v>
      </c>
    </row>
    <row r="232" spans="1:15" ht="15" customHeight="1" x14ac:dyDescent="0.3">
      <c r="A232" s="6" t="s">
        <v>415</v>
      </c>
      <c r="B232" s="6" t="s">
        <v>263</v>
      </c>
      <c r="C232" s="8">
        <v>44.7</v>
      </c>
      <c r="D232" s="8">
        <v>40.4</v>
      </c>
      <c r="E232" s="8">
        <v>44.2</v>
      </c>
      <c r="F232" s="8">
        <v>9.4</v>
      </c>
      <c r="G232" s="8"/>
      <c r="H232" s="8">
        <v>7.7</v>
      </c>
      <c r="I232" s="8">
        <v>16.399999999999999</v>
      </c>
      <c r="J232" s="8">
        <v>17.399999999999999</v>
      </c>
      <c r="K232" s="8">
        <v>50.3</v>
      </c>
      <c r="L232" s="8">
        <v>77.099999999999994</v>
      </c>
      <c r="M232" s="8">
        <v>184.9</v>
      </c>
      <c r="N232" s="8">
        <v>62.7</v>
      </c>
      <c r="O232" s="28">
        <f t="shared" si="3"/>
        <v>555.20000000000005</v>
      </c>
    </row>
    <row r="233" spans="1:15" ht="15" customHeight="1" x14ac:dyDescent="0.3">
      <c r="A233" s="6" t="s">
        <v>331</v>
      </c>
      <c r="B233" s="6" t="s">
        <v>292</v>
      </c>
      <c r="C233" s="8">
        <v>51.3</v>
      </c>
      <c r="D233" s="8">
        <v>48.4</v>
      </c>
      <c r="E233" s="8">
        <v>53.9</v>
      </c>
      <c r="F233" s="8">
        <v>54.1</v>
      </c>
      <c r="G233" s="8">
        <v>54.9</v>
      </c>
      <c r="H233" s="8">
        <v>52.2</v>
      </c>
      <c r="I233" s="8">
        <v>54.9</v>
      </c>
      <c r="J233" s="8">
        <v>36.5</v>
      </c>
      <c r="K233" s="8">
        <v>16.600000000000001</v>
      </c>
      <c r="L233" s="8">
        <v>22</v>
      </c>
      <c r="M233" s="8">
        <v>42.2</v>
      </c>
      <c r="N233" s="8">
        <v>41.1</v>
      </c>
      <c r="O233" s="28">
        <f t="shared" si="3"/>
        <v>528.09999999999991</v>
      </c>
    </row>
    <row r="234" spans="1:15" ht="15" customHeight="1" x14ac:dyDescent="0.3">
      <c r="A234" s="6" t="s">
        <v>332</v>
      </c>
      <c r="B234" s="6" t="s">
        <v>85</v>
      </c>
      <c r="C234" s="8">
        <v>29.7</v>
      </c>
      <c r="D234" s="8">
        <v>41.5</v>
      </c>
      <c r="E234" s="8">
        <v>42</v>
      </c>
      <c r="F234" s="8">
        <v>36.5</v>
      </c>
      <c r="G234" s="8">
        <v>32.1</v>
      </c>
      <c r="H234" s="8">
        <v>35.6</v>
      </c>
      <c r="I234" s="8">
        <v>36</v>
      </c>
      <c r="J234" s="8">
        <v>44.8</v>
      </c>
      <c r="K234" s="8">
        <v>64.099999999999994</v>
      </c>
      <c r="L234" s="8">
        <v>73.3</v>
      </c>
      <c r="M234" s="8">
        <v>45.3</v>
      </c>
      <c r="N234" s="8">
        <v>43</v>
      </c>
      <c r="O234" s="28">
        <f t="shared" si="3"/>
        <v>523.9</v>
      </c>
    </row>
    <row r="235" spans="1:15" ht="15" customHeight="1" x14ac:dyDescent="0.3">
      <c r="A235" s="6" t="s">
        <v>333</v>
      </c>
      <c r="B235" s="6" t="s">
        <v>173</v>
      </c>
      <c r="C235" s="8">
        <v>46.2</v>
      </c>
      <c r="D235" s="8">
        <v>43.6</v>
      </c>
      <c r="E235" s="8">
        <v>49.8</v>
      </c>
      <c r="F235" s="8">
        <v>46.5</v>
      </c>
      <c r="G235" s="8">
        <v>32</v>
      </c>
      <c r="H235" s="8">
        <v>46.6</v>
      </c>
      <c r="I235" s="8">
        <v>77.3</v>
      </c>
      <c r="J235" s="8">
        <v>64.400000000000006</v>
      </c>
      <c r="K235" s="8">
        <v>18.399999999999999</v>
      </c>
      <c r="L235" s="8">
        <v>29.5</v>
      </c>
      <c r="M235" s="8">
        <v>32.299999999999997</v>
      </c>
      <c r="N235" s="8">
        <v>32.5</v>
      </c>
      <c r="O235" s="28">
        <f t="shared" si="3"/>
        <v>519.10000000000014</v>
      </c>
    </row>
    <row r="236" spans="1:15" ht="15" customHeight="1" x14ac:dyDescent="0.3">
      <c r="A236" s="6" t="s">
        <v>417</v>
      </c>
      <c r="B236" s="6" t="s">
        <v>278</v>
      </c>
      <c r="C236" s="8">
        <v>70.099999999999994</v>
      </c>
      <c r="D236" s="8">
        <v>65.5</v>
      </c>
      <c r="E236" s="8">
        <v>69.3</v>
      </c>
      <c r="F236" s="8">
        <v>48.7</v>
      </c>
      <c r="G236" s="8"/>
      <c r="H236" s="8"/>
      <c r="I236" s="8">
        <v>23.9</v>
      </c>
      <c r="J236" s="8">
        <v>58.3</v>
      </c>
      <c r="K236" s="8">
        <v>50.5</v>
      </c>
      <c r="L236" s="8">
        <v>29.2</v>
      </c>
      <c r="M236" s="8">
        <v>50.7</v>
      </c>
      <c r="N236" s="8">
        <v>50.4</v>
      </c>
      <c r="O236" s="28">
        <f t="shared" si="3"/>
        <v>516.59999999999991</v>
      </c>
    </row>
    <row r="237" spans="1:15" ht="15" customHeight="1" x14ac:dyDescent="0.3">
      <c r="A237" s="6" t="s">
        <v>334</v>
      </c>
      <c r="B237" s="6" t="s">
        <v>278</v>
      </c>
      <c r="C237" s="8">
        <v>49.5</v>
      </c>
      <c r="D237" s="8">
        <v>47.6</v>
      </c>
      <c r="E237" s="8">
        <v>57.8</v>
      </c>
      <c r="F237" s="8">
        <v>62.7</v>
      </c>
      <c r="G237" s="8">
        <v>50.3</v>
      </c>
      <c r="H237" s="8">
        <v>32.5</v>
      </c>
      <c r="I237" s="8">
        <v>31.9</v>
      </c>
      <c r="J237" s="8">
        <v>33.200000000000003</v>
      </c>
      <c r="K237" s="8">
        <v>34.4</v>
      </c>
      <c r="L237" s="8">
        <v>31</v>
      </c>
      <c r="M237" s="8">
        <v>34.200000000000003</v>
      </c>
      <c r="N237" s="8">
        <v>33.9</v>
      </c>
      <c r="O237" s="28">
        <f t="shared" si="3"/>
        <v>498.99999999999989</v>
      </c>
    </row>
    <row r="238" spans="1:15" ht="15" customHeight="1" x14ac:dyDescent="0.3">
      <c r="A238" s="6" t="s">
        <v>483</v>
      </c>
      <c r="B238" s="6" t="s">
        <v>348</v>
      </c>
      <c r="C238" s="8">
        <v>51.2</v>
      </c>
      <c r="D238" s="8">
        <v>42.9</v>
      </c>
      <c r="E238" s="8">
        <v>52</v>
      </c>
      <c r="F238" s="8">
        <v>42.8</v>
      </c>
      <c r="G238" s="8">
        <v>47.5</v>
      </c>
      <c r="H238" s="8">
        <v>42.5</v>
      </c>
      <c r="I238" s="8">
        <v>48.9</v>
      </c>
      <c r="J238" s="8">
        <v>46.2</v>
      </c>
      <c r="K238" s="8">
        <v>40.299999999999997</v>
      </c>
      <c r="L238" s="8">
        <v>42.5</v>
      </c>
      <c r="M238" s="8">
        <v>33.299999999999997</v>
      </c>
      <c r="N238" s="8"/>
      <c r="O238" s="28">
        <f t="shared" si="3"/>
        <v>490.09999999999997</v>
      </c>
    </row>
    <row r="239" spans="1:15" ht="15" customHeight="1" x14ac:dyDescent="0.3">
      <c r="A239" s="6" t="s">
        <v>419</v>
      </c>
      <c r="B239" s="6" t="s">
        <v>322</v>
      </c>
      <c r="C239" s="8">
        <v>14.9</v>
      </c>
      <c r="D239" s="8">
        <v>66.7</v>
      </c>
      <c r="E239" s="8">
        <v>4.9000000000000004</v>
      </c>
      <c r="F239" s="8">
        <v>52.5</v>
      </c>
      <c r="G239" s="8">
        <v>64.099999999999994</v>
      </c>
      <c r="H239" s="8">
        <v>54.2</v>
      </c>
      <c r="I239" s="8">
        <v>56.6</v>
      </c>
      <c r="J239" s="8">
        <v>48.2</v>
      </c>
      <c r="K239" s="8">
        <v>44.3</v>
      </c>
      <c r="L239" s="8">
        <v>50.2</v>
      </c>
      <c r="M239" s="8">
        <v>14.6</v>
      </c>
      <c r="N239" s="8">
        <v>13.2</v>
      </c>
      <c r="O239" s="28">
        <f t="shared" si="3"/>
        <v>484.40000000000003</v>
      </c>
    </row>
    <row r="240" spans="1:15" ht="15" customHeight="1" x14ac:dyDescent="0.3">
      <c r="A240" s="6" t="s">
        <v>484</v>
      </c>
      <c r="B240" s="6" t="s">
        <v>485</v>
      </c>
      <c r="C240" s="8"/>
      <c r="D240" s="8">
        <v>294.10000000000002</v>
      </c>
      <c r="E240" s="8">
        <v>189.9</v>
      </c>
      <c r="F240" s="8"/>
      <c r="G240" s="8"/>
      <c r="H240" s="8"/>
      <c r="I240" s="8"/>
      <c r="J240" s="8"/>
      <c r="K240" s="8"/>
      <c r="L240" s="8"/>
      <c r="M240" s="8"/>
      <c r="N240" s="8"/>
      <c r="O240" s="28">
        <f t="shared" si="3"/>
        <v>484</v>
      </c>
    </row>
    <row r="241" spans="1:15" ht="15" customHeight="1" x14ac:dyDescent="0.3">
      <c r="A241" s="6" t="s">
        <v>335</v>
      </c>
      <c r="B241" s="6" t="s">
        <v>185</v>
      </c>
      <c r="C241" s="8">
        <v>55</v>
      </c>
      <c r="D241" s="8">
        <v>59</v>
      </c>
      <c r="E241" s="8">
        <v>64</v>
      </c>
      <c r="F241" s="8">
        <v>41.8</v>
      </c>
      <c r="G241" s="8">
        <v>41.1</v>
      </c>
      <c r="H241" s="8">
        <v>33.1</v>
      </c>
      <c r="I241" s="8">
        <v>32.299999999999997</v>
      </c>
      <c r="J241" s="8">
        <v>30.4</v>
      </c>
      <c r="K241" s="8">
        <v>22.5</v>
      </c>
      <c r="L241" s="8">
        <v>38.4</v>
      </c>
      <c r="M241" s="8">
        <v>35.1</v>
      </c>
      <c r="N241" s="8">
        <v>30.3</v>
      </c>
      <c r="O241" s="28">
        <f t="shared" si="3"/>
        <v>483.00000000000006</v>
      </c>
    </row>
    <row r="242" spans="1:15" ht="15" customHeight="1" x14ac:dyDescent="0.3">
      <c r="A242" s="6" t="s">
        <v>383</v>
      </c>
      <c r="B242" s="6" t="s">
        <v>242</v>
      </c>
      <c r="C242" s="8"/>
      <c r="D242" s="8">
        <v>27.4</v>
      </c>
      <c r="E242" s="8">
        <v>74.5</v>
      </c>
      <c r="F242" s="8">
        <v>50</v>
      </c>
      <c r="G242" s="8">
        <v>58.6</v>
      </c>
      <c r="H242" s="8">
        <v>47.5</v>
      </c>
      <c r="I242" s="8">
        <v>38.700000000000003</v>
      </c>
      <c r="J242" s="8">
        <v>35.1</v>
      </c>
      <c r="K242" s="8">
        <v>34.9</v>
      </c>
      <c r="L242" s="8">
        <v>35.299999999999997</v>
      </c>
      <c r="M242" s="8">
        <v>35.299999999999997</v>
      </c>
      <c r="N242" s="8">
        <v>35.6</v>
      </c>
      <c r="O242" s="28">
        <f t="shared" si="3"/>
        <v>472.90000000000003</v>
      </c>
    </row>
    <row r="243" spans="1:15" ht="15" customHeight="1" x14ac:dyDescent="0.3">
      <c r="A243" s="6" t="s">
        <v>336</v>
      </c>
      <c r="B243" s="6" t="s">
        <v>299</v>
      </c>
      <c r="C243" s="8">
        <v>46.5</v>
      </c>
      <c r="D243" s="8">
        <v>42.4</v>
      </c>
      <c r="E243" s="8">
        <v>44.1</v>
      </c>
      <c r="F243" s="8">
        <v>42</v>
      </c>
      <c r="G243" s="8">
        <v>42.3</v>
      </c>
      <c r="H243" s="8">
        <v>43.2</v>
      </c>
      <c r="I243" s="8">
        <v>45.8</v>
      </c>
      <c r="J243" s="8">
        <v>37.299999999999997</v>
      </c>
      <c r="K243" s="8">
        <v>40</v>
      </c>
      <c r="L243" s="8">
        <v>37</v>
      </c>
      <c r="M243" s="8">
        <v>17.8</v>
      </c>
      <c r="N243" s="8">
        <v>34</v>
      </c>
      <c r="O243" s="28">
        <f t="shared" si="3"/>
        <v>472.40000000000003</v>
      </c>
    </row>
    <row r="244" spans="1:15" ht="15" customHeight="1" x14ac:dyDescent="0.3">
      <c r="A244" s="6" t="s">
        <v>487</v>
      </c>
      <c r="B244" s="6" t="s">
        <v>461</v>
      </c>
      <c r="C244" s="8"/>
      <c r="D244" s="8"/>
      <c r="E244" s="8"/>
      <c r="F244" s="8">
        <v>137.5</v>
      </c>
      <c r="G244" s="8">
        <v>43.6</v>
      </c>
      <c r="H244" s="8"/>
      <c r="I244" s="8"/>
      <c r="J244" s="8">
        <v>98.6</v>
      </c>
      <c r="K244" s="8">
        <v>111</v>
      </c>
      <c r="L244" s="8">
        <v>61.2</v>
      </c>
      <c r="M244" s="8"/>
      <c r="N244" s="8"/>
      <c r="O244" s="28">
        <f t="shared" si="3"/>
        <v>451.9</v>
      </c>
    </row>
    <row r="245" spans="1:15" ht="15" customHeight="1" x14ac:dyDescent="0.3">
      <c r="A245" s="6" t="s">
        <v>337</v>
      </c>
      <c r="B245" s="6" t="s">
        <v>325</v>
      </c>
      <c r="C245" s="8">
        <v>52.4</v>
      </c>
      <c r="D245" s="8">
        <v>46</v>
      </c>
      <c r="E245" s="8">
        <v>57.6</v>
      </c>
      <c r="F245" s="8">
        <v>51.5</v>
      </c>
      <c r="G245" s="8">
        <v>50.1</v>
      </c>
      <c r="H245" s="8">
        <v>37.1</v>
      </c>
      <c r="I245" s="8">
        <v>5.3</v>
      </c>
      <c r="J245" s="8">
        <v>16.2</v>
      </c>
      <c r="K245" s="8">
        <v>16.2</v>
      </c>
      <c r="L245" s="8">
        <v>22.3</v>
      </c>
      <c r="M245" s="8">
        <v>49.9</v>
      </c>
      <c r="N245" s="8">
        <v>47</v>
      </c>
      <c r="O245" s="28">
        <f t="shared" si="3"/>
        <v>451.6</v>
      </c>
    </row>
    <row r="246" spans="1:15" ht="15" customHeight="1" x14ac:dyDescent="0.3">
      <c r="A246" s="6" t="s">
        <v>338</v>
      </c>
      <c r="B246" s="6" t="s">
        <v>100</v>
      </c>
      <c r="C246" s="8">
        <v>32.200000000000003</v>
      </c>
      <c r="D246" s="8">
        <v>52.4</v>
      </c>
      <c r="E246" s="8">
        <v>59.5</v>
      </c>
      <c r="F246" s="8">
        <v>49</v>
      </c>
      <c r="G246" s="8">
        <v>43.9</v>
      </c>
      <c r="H246" s="8">
        <v>32.1</v>
      </c>
      <c r="I246" s="8">
        <v>34.1</v>
      </c>
      <c r="J246" s="8">
        <v>29.7</v>
      </c>
      <c r="K246" s="8">
        <v>47.1</v>
      </c>
      <c r="L246" s="8">
        <v>39.4</v>
      </c>
      <c r="M246" s="8">
        <v>20.3</v>
      </c>
      <c r="N246" s="8">
        <v>9</v>
      </c>
      <c r="O246" s="28">
        <f t="shared" si="3"/>
        <v>448.70000000000005</v>
      </c>
    </row>
    <row r="247" spans="1:15" ht="15" customHeight="1" x14ac:dyDescent="0.3">
      <c r="A247" s="6" t="s">
        <v>339</v>
      </c>
      <c r="B247" s="6" t="s">
        <v>272</v>
      </c>
      <c r="C247" s="8">
        <v>41.2</v>
      </c>
      <c r="D247" s="8">
        <v>33.4</v>
      </c>
      <c r="E247" s="8">
        <v>41.3</v>
      </c>
      <c r="F247" s="8">
        <v>36.299999999999997</v>
      </c>
      <c r="G247" s="8">
        <v>40.200000000000003</v>
      </c>
      <c r="H247" s="8">
        <v>33.5</v>
      </c>
      <c r="I247" s="8">
        <v>35.1</v>
      </c>
      <c r="J247" s="8">
        <v>29.7</v>
      </c>
      <c r="K247" s="8">
        <v>24.9</v>
      </c>
      <c r="L247" s="8">
        <v>38.200000000000003</v>
      </c>
      <c r="M247" s="8">
        <v>37.299999999999997</v>
      </c>
      <c r="N247" s="8">
        <v>40.5</v>
      </c>
      <c r="O247" s="28">
        <f t="shared" si="3"/>
        <v>431.59999999999997</v>
      </c>
    </row>
    <row r="248" spans="1:15" ht="15" customHeight="1" x14ac:dyDescent="0.3">
      <c r="A248" s="6" t="s">
        <v>340</v>
      </c>
      <c r="B248" s="6" t="s">
        <v>85</v>
      </c>
      <c r="C248" s="8">
        <v>41.7</v>
      </c>
      <c r="D248" s="8">
        <v>36.1</v>
      </c>
      <c r="E248" s="8">
        <v>37.5</v>
      </c>
      <c r="F248" s="8">
        <v>36.4</v>
      </c>
      <c r="G248" s="8">
        <v>35</v>
      </c>
      <c r="H248" s="8">
        <v>36</v>
      </c>
      <c r="I248" s="8">
        <v>33</v>
      </c>
      <c r="J248" s="8">
        <v>37.6</v>
      </c>
      <c r="K248" s="8">
        <v>32.200000000000003</v>
      </c>
      <c r="L248" s="8">
        <v>34.9</v>
      </c>
      <c r="M248" s="8">
        <v>34.700000000000003</v>
      </c>
      <c r="N248" s="8">
        <v>33.799999999999997</v>
      </c>
      <c r="O248" s="28">
        <f t="shared" si="3"/>
        <v>428.9</v>
      </c>
    </row>
    <row r="249" spans="1:15" ht="15" customHeight="1" x14ac:dyDescent="0.3">
      <c r="A249" s="6" t="s">
        <v>341</v>
      </c>
      <c r="B249" s="6" t="s">
        <v>322</v>
      </c>
      <c r="C249" s="8">
        <v>38.4</v>
      </c>
      <c r="D249" s="8">
        <v>36.5</v>
      </c>
      <c r="E249" s="8">
        <v>42.2</v>
      </c>
      <c r="F249" s="8">
        <v>40.299999999999997</v>
      </c>
      <c r="G249" s="8">
        <v>48.6</v>
      </c>
      <c r="H249" s="8">
        <v>42.2</v>
      </c>
      <c r="I249" s="8">
        <v>48.2</v>
      </c>
      <c r="J249" s="8">
        <v>26.7</v>
      </c>
      <c r="K249" s="8">
        <v>21.8</v>
      </c>
      <c r="L249" s="8">
        <v>24.1</v>
      </c>
      <c r="M249" s="8">
        <v>23.8</v>
      </c>
      <c r="N249" s="8">
        <v>23.3</v>
      </c>
      <c r="O249" s="28">
        <f t="shared" si="3"/>
        <v>416.1</v>
      </c>
    </row>
    <row r="250" spans="1:15" ht="15" customHeight="1" x14ac:dyDescent="0.3">
      <c r="A250" s="6" t="s">
        <v>342</v>
      </c>
      <c r="B250" s="6" t="s">
        <v>135</v>
      </c>
      <c r="C250" s="8">
        <v>13.6</v>
      </c>
      <c r="D250" s="8">
        <v>10</v>
      </c>
      <c r="E250" s="8">
        <v>12.7</v>
      </c>
      <c r="F250" s="8">
        <v>12.5</v>
      </c>
      <c r="G250" s="8">
        <v>20.399999999999999</v>
      </c>
      <c r="H250" s="8">
        <v>33.700000000000003</v>
      </c>
      <c r="I250" s="8">
        <v>53.6</v>
      </c>
      <c r="J250" s="8">
        <v>81.2</v>
      </c>
      <c r="K250" s="8">
        <v>66.8</v>
      </c>
      <c r="L250" s="8">
        <v>36.9</v>
      </c>
      <c r="M250" s="8">
        <v>35.299999999999997</v>
      </c>
      <c r="N250" s="8">
        <v>36.799999999999997</v>
      </c>
      <c r="O250" s="28">
        <f t="shared" si="3"/>
        <v>413.5</v>
      </c>
    </row>
    <row r="251" spans="1:15" ht="15" customHeight="1" x14ac:dyDescent="0.3">
      <c r="A251" s="6" t="s">
        <v>343</v>
      </c>
      <c r="B251" s="6" t="s">
        <v>185</v>
      </c>
      <c r="C251" s="8">
        <v>54.5</v>
      </c>
      <c r="D251" s="8">
        <v>59.8</v>
      </c>
      <c r="E251" s="8">
        <v>54.9</v>
      </c>
      <c r="F251" s="8">
        <v>37.200000000000003</v>
      </c>
      <c r="G251" s="8">
        <v>32.5</v>
      </c>
      <c r="H251" s="8">
        <v>55.8</v>
      </c>
      <c r="I251" s="8">
        <v>36</v>
      </c>
      <c r="J251" s="8">
        <v>8.6</v>
      </c>
      <c r="K251" s="8">
        <v>11.6</v>
      </c>
      <c r="L251" s="8">
        <v>13.6</v>
      </c>
      <c r="M251" s="8">
        <v>16.5</v>
      </c>
      <c r="N251" s="8">
        <v>31.7</v>
      </c>
      <c r="O251" s="28">
        <f t="shared" si="3"/>
        <v>412.70000000000005</v>
      </c>
    </row>
    <row r="252" spans="1:15" ht="15" customHeight="1" x14ac:dyDescent="0.3">
      <c r="A252" s="6" t="s">
        <v>344</v>
      </c>
      <c r="B252" s="6" t="s">
        <v>85</v>
      </c>
      <c r="C252" s="8">
        <v>36.6</v>
      </c>
      <c r="D252" s="8">
        <v>33.9</v>
      </c>
      <c r="E252" s="8">
        <v>35.200000000000003</v>
      </c>
      <c r="F252" s="8">
        <v>33</v>
      </c>
      <c r="G252" s="8">
        <v>31.6</v>
      </c>
      <c r="H252" s="8">
        <v>33.799999999999997</v>
      </c>
      <c r="I252" s="8">
        <v>31</v>
      </c>
      <c r="J252" s="8">
        <v>35.299999999999997</v>
      </c>
      <c r="K252" s="8">
        <v>29.6</v>
      </c>
      <c r="L252" s="8">
        <v>32.700000000000003</v>
      </c>
      <c r="M252" s="8">
        <v>32.5</v>
      </c>
      <c r="N252" s="8">
        <v>32.799999999999997</v>
      </c>
      <c r="O252" s="28">
        <f t="shared" si="3"/>
        <v>398</v>
      </c>
    </row>
    <row r="253" spans="1:15" ht="15" customHeight="1" x14ac:dyDescent="0.3">
      <c r="A253" s="6" t="s">
        <v>345</v>
      </c>
      <c r="B253" s="6" t="s">
        <v>135</v>
      </c>
      <c r="C253" s="8">
        <v>35.9</v>
      </c>
      <c r="D253" s="8">
        <v>28.9</v>
      </c>
      <c r="E253" s="8">
        <v>35.1</v>
      </c>
      <c r="F253" s="8">
        <v>29.5</v>
      </c>
      <c r="G253" s="8">
        <v>24.4</v>
      </c>
      <c r="H253" s="8">
        <v>26.7</v>
      </c>
      <c r="I253" s="8">
        <v>15.5</v>
      </c>
      <c r="J253" s="8">
        <v>24.4</v>
      </c>
      <c r="K253" s="8">
        <v>43.4</v>
      </c>
      <c r="L253" s="8">
        <v>55</v>
      </c>
      <c r="M253" s="8">
        <v>48.2</v>
      </c>
      <c r="N253" s="8">
        <v>29.2</v>
      </c>
      <c r="O253" s="28">
        <f t="shared" si="3"/>
        <v>396.2</v>
      </c>
    </row>
    <row r="254" spans="1:15" ht="15" customHeight="1" x14ac:dyDescent="0.3">
      <c r="A254" s="6" t="s">
        <v>346</v>
      </c>
      <c r="B254" s="6" t="s">
        <v>311</v>
      </c>
      <c r="C254" s="8">
        <v>55.6</v>
      </c>
      <c r="D254" s="8">
        <v>50.2</v>
      </c>
      <c r="E254" s="8">
        <v>55.6</v>
      </c>
      <c r="F254" s="8">
        <v>51.6</v>
      </c>
      <c r="G254" s="8">
        <v>53.6</v>
      </c>
      <c r="H254" s="8">
        <v>14.3</v>
      </c>
      <c r="I254" s="8">
        <v>60.3</v>
      </c>
      <c r="J254" s="8">
        <v>16.100000000000001</v>
      </c>
      <c r="K254" s="8">
        <v>14.7</v>
      </c>
      <c r="L254" s="8">
        <v>14.2</v>
      </c>
      <c r="M254" s="8">
        <v>2.2000000000000002</v>
      </c>
      <c r="N254" s="8">
        <v>1.9</v>
      </c>
      <c r="O254" s="28">
        <f t="shared" si="3"/>
        <v>390.3</v>
      </c>
    </row>
    <row r="255" spans="1:15" ht="15" customHeight="1" x14ac:dyDescent="0.3">
      <c r="A255" s="6" t="s">
        <v>347</v>
      </c>
      <c r="B255" s="6" t="s">
        <v>348</v>
      </c>
      <c r="C255" s="8">
        <v>36.799999999999997</v>
      </c>
      <c r="D255" s="8">
        <v>25.8</v>
      </c>
      <c r="E255" s="8">
        <v>35.799999999999997</v>
      </c>
      <c r="F255" s="8">
        <v>32.799999999999997</v>
      </c>
      <c r="G255" s="8">
        <v>33</v>
      </c>
      <c r="H255" s="8">
        <v>34.6</v>
      </c>
      <c r="I255" s="8">
        <v>36.1</v>
      </c>
      <c r="J255" s="8">
        <v>36.1</v>
      </c>
      <c r="K255" s="8">
        <v>34.6</v>
      </c>
      <c r="L255" s="8">
        <v>33.5</v>
      </c>
      <c r="M255" s="8">
        <v>34.5</v>
      </c>
      <c r="N255" s="8">
        <v>7.6</v>
      </c>
      <c r="O255" s="28">
        <f t="shared" si="3"/>
        <v>381.20000000000005</v>
      </c>
    </row>
    <row r="256" spans="1:15" ht="15" customHeight="1" x14ac:dyDescent="0.3">
      <c r="A256" s="6" t="s">
        <v>350</v>
      </c>
      <c r="B256" s="6" t="s">
        <v>275</v>
      </c>
      <c r="C256" s="8">
        <v>45.4</v>
      </c>
      <c r="D256" s="8">
        <v>27.5</v>
      </c>
      <c r="E256" s="8">
        <v>23.9</v>
      </c>
      <c r="F256" s="8">
        <v>40.299999999999997</v>
      </c>
      <c r="G256" s="8">
        <v>35.6</v>
      </c>
      <c r="H256" s="8">
        <v>30.4</v>
      </c>
      <c r="I256" s="8">
        <v>38</v>
      </c>
      <c r="J256" s="8">
        <v>31.3</v>
      </c>
      <c r="K256" s="8">
        <v>16</v>
      </c>
      <c r="L256" s="8">
        <v>29.3</v>
      </c>
      <c r="M256" s="8">
        <v>30.1</v>
      </c>
      <c r="N256" s="8">
        <v>32.200000000000003</v>
      </c>
      <c r="O256" s="28">
        <f t="shared" si="3"/>
        <v>380.00000000000006</v>
      </c>
    </row>
    <row r="257" spans="1:15" ht="15" customHeight="1" x14ac:dyDescent="0.3">
      <c r="A257" s="6" t="s">
        <v>351</v>
      </c>
      <c r="B257" s="6" t="s">
        <v>352</v>
      </c>
      <c r="C257" s="8">
        <v>51.7</v>
      </c>
      <c r="D257" s="8">
        <v>36</v>
      </c>
      <c r="E257" s="8">
        <v>15.7</v>
      </c>
      <c r="F257" s="8">
        <v>34</v>
      </c>
      <c r="G257" s="8">
        <v>37.1</v>
      </c>
      <c r="H257" s="8">
        <v>26.5</v>
      </c>
      <c r="I257" s="8">
        <v>28.2</v>
      </c>
      <c r="J257" s="8">
        <v>20.3</v>
      </c>
      <c r="K257" s="8">
        <v>32.1</v>
      </c>
      <c r="L257" s="8">
        <v>30.3</v>
      </c>
      <c r="M257" s="8">
        <v>22.4</v>
      </c>
      <c r="N257" s="8">
        <v>29.9</v>
      </c>
      <c r="O257" s="28">
        <f t="shared" si="3"/>
        <v>364.2</v>
      </c>
    </row>
    <row r="258" spans="1:15" ht="15" customHeight="1" x14ac:dyDescent="0.3">
      <c r="A258" s="6" t="s">
        <v>421</v>
      </c>
      <c r="B258" s="6" t="s">
        <v>311</v>
      </c>
      <c r="C258" s="8">
        <v>58.7</v>
      </c>
      <c r="D258" s="8">
        <v>41.7</v>
      </c>
      <c r="E258" s="8">
        <v>53.4</v>
      </c>
      <c r="F258" s="8">
        <v>58.5</v>
      </c>
      <c r="G258" s="8">
        <v>52</v>
      </c>
      <c r="H258" s="8"/>
      <c r="I258" s="8">
        <v>55.6</v>
      </c>
      <c r="J258" s="8">
        <v>11.1</v>
      </c>
      <c r="K258" s="8">
        <v>10.5</v>
      </c>
      <c r="L258" s="8"/>
      <c r="M258" s="8">
        <v>7</v>
      </c>
      <c r="N258" s="8">
        <v>10.7</v>
      </c>
      <c r="O258" s="28">
        <f t="shared" si="3"/>
        <v>359.20000000000005</v>
      </c>
    </row>
    <row r="259" spans="1:15" ht="15" customHeight="1" x14ac:dyDescent="0.3">
      <c r="A259" s="6" t="s">
        <v>354</v>
      </c>
      <c r="B259" s="6" t="s">
        <v>272</v>
      </c>
      <c r="C259" s="8">
        <v>31.2</v>
      </c>
      <c r="D259" s="8">
        <v>27.2</v>
      </c>
      <c r="E259" s="8">
        <v>33.799999999999997</v>
      </c>
      <c r="F259" s="8">
        <v>32.799999999999997</v>
      </c>
      <c r="G259" s="8">
        <v>32</v>
      </c>
      <c r="H259" s="8">
        <v>30.4</v>
      </c>
      <c r="I259" s="8">
        <v>25.4</v>
      </c>
      <c r="J259" s="8">
        <v>24</v>
      </c>
      <c r="K259" s="8">
        <v>24.9</v>
      </c>
      <c r="L259" s="8">
        <v>24.6</v>
      </c>
      <c r="M259" s="8">
        <v>24.1</v>
      </c>
      <c r="N259" s="8">
        <v>25.4</v>
      </c>
      <c r="O259" s="28">
        <f t="shared" si="3"/>
        <v>335.8</v>
      </c>
    </row>
    <row r="260" spans="1:15" ht="15" customHeight="1" x14ac:dyDescent="0.3">
      <c r="A260" s="6" t="s">
        <v>355</v>
      </c>
      <c r="B260" s="6" t="s">
        <v>80</v>
      </c>
      <c r="C260" s="8">
        <v>24.1</v>
      </c>
      <c r="D260" s="8">
        <v>19.3</v>
      </c>
      <c r="E260" s="8">
        <v>16.100000000000001</v>
      </c>
      <c r="F260" s="8">
        <v>18.5</v>
      </c>
      <c r="G260" s="8">
        <v>15.5</v>
      </c>
      <c r="H260" s="8">
        <v>14.7</v>
      </c>
      <c r="I260" s="8">
        <v>15.7</v>
      </c>
      <c r="J260" s="8">
        <v>16.3</v>
      </c>
      <c r="K260" s="8">
        <v>31.5</v>
      </c>
      <c r="L260" s="8">
        <v>46.7</v>
      </c>
      <c r="M260" s="8">
        <v>57.3</v>
      </c>
      <c r="N260" s="8">
        <v>52.9</v>
      </c>
      <c r="O260" s="28">
        <f t="shared" ref="O260:O323" si="4">SUM(C260:N260)</f>
        <v>328.6</v>
      </c>
    </row>
    <row r="261" spans="1:15" ht="15" customHeight="1" x14ac:dyDescent="0.3">
      <c r="A261" s="6" t="s">
        <v>490</v>
      </c>
      <c r="B261" s="6" t="s">
        <v>85</v>
      </c>
      <c r="C261" s="8">
        <v>32.4</v>
      </c>
      <c r="D261" s="8">
        <v>28.8</v>
      </c>
      <c r="E261" s="8">
        <v>30.5</v>
      </c>
      <c r="F261" s="8">
        <v>30.6</v>
      </c>
      <c r="G261" s="8">
        <v>33.299999999999997</v>
      </c>
      <c r="H261" s="8">
        <v>29.2</v>
      </c>
      <c r="I261" s="8">
        <v>25.2</v>
      </c>
      <c r="J261" s="8">
        <v>31.7</v>
      </c>
      <c r="K261" s="8">
        <v>28.8</v>
      </c>
      <c r="L261" s="8">
        <v>29.4</v>
      </c>
      <c r="M261" s="8">
        <v>7</v>
      </c>
      <c r="N261" s="8">
        <v>0.5</v>
      </c>
      <c r="O261" s="28">
        <f t="shared" si="4"/>
        <v>307.39999999999998</v>
      </c>
    </row>
    <row r="262" spans="1:15" ht="15" customHeight="1" x14ac:dyDescent="0.3">
      <c r="A262" s="6" t="s">
        <v>424</v>
      </c>
      <c r="B262" s="6" t="s">
        <v>299</v>
      </c>
      <c r="C262" s="8">
        <v>32.200000000000003</v>
      </c>
      <c r="D262" s="8">
        <v>26.8</v>
      </c>
      <c r="E262" s="8">
        <v>28.5</v>
      </c>
      <c r="F262" s="8">
        <v>31.1</v>
      </c>
      <c r="G262" s="8">
        <v>31.5</v>
      </c>
      <c r="H262" s="8">
        <v>28</v>
      </c>
      <c r="I262" s="8"/>
      <c r="J262" s="8"/>
      <c r="K262" s="8">
        <v>22.5</v>
      </c>
      <c r="L262" s="8">
        <v>28.1</v>
      </c>
      <c r="M262" s="8">
        <v>29.3</v>
      </c>
      <c r="N262" s="8">
        <v>28.5</v>
      </c>
      <c r="O262" s="28">
        <f t="shared" si="4"/>
        <v>286.5</v>
      </c>
    </row>
    <row r="263" spans="1:15" ht="15" customHeight="1" x14ac:dyDescent="0.3">
      <c r="A263" s="6" t="s">
        <v>356</v>
      </c>
      <c r="B263" s="6" t="s">
        <v>299</v>
      </c>
      <c r="C263" s="8">
        <v>12.8</v>
      </c>
      <c r="D263" s="8">
        <v>13.8</v>
      </c>
      <c r="E263" s="8">
        <v>15.4</v>
      </c>
      <c r="F263" s="8">
        <v>14.8</v>
      </c>
      <c r="G263" s="8">
        <v>15.3</v>
      </c>
      <c r="H263" s="8">
        <v>14.6</v>
      </c>
      <c r="I263" s="8">
        <v>16.5</v>
      </c>
      <c r="J263" s="8">
        <v>21.3</v>
      </c>
      <c r="K263" s="8">
        <v>26.5</v>
      </c>
      <c r="L263" s="8">
        <v>37</v>
      </c>
      <c r="M263" s="8">
        <v>47</v>
      </c>
      <c r="N263" s="8">
        <v>35.6</v>
      </c>
      <c r="O263" s="28">
        <f t="shared" si="4"/>
        <v>270.60000000000002</v>
      </c>
    </row>
    <row r="264" spans="1:15" ht="15" customHeight="1" x14ac:dyDescent="0.3">
      <c r="A264" s="6" t="s">
        <v>357</v>
      </c>
      <c r="B264" s="6" t="s">
        <v>275</v>
      </c>
      <c r="C264" s="8">
        <v>32.200000000000003</v>
      </c>
      <c r="D264" s="8">
        <v>26.5</v>
      </c>
      <c r="E264" s="8">
        <v>22</v>
      </c>
      <c r="F264" s="8">
        <v>24.3</v>
      </c>
      <c r="G264" s="8">
        <v>26.9</v>
      </c>
      <c r="H264" s="8">
        <v>23.7</v>
      </c>
      <c r="I264" s="8">
        <v>16.399999999999999</v>
      </c>
      <c r="J264" s="8">
        <v>19.100000000000001</v>
      </c>
      <c r="K264" s="8">
        <v>12</v>
      </c>
      <c r="L264" s="8">
        <v>14</v>
      </c>
      <c r="M264" s="8">
        <v>28.2</v>
      </c>
      <c r="N264" s="8">
        <v>17</v>
      </c>
      <c r="O264" s="28">
        <f t="shared" si="4"/>
        <v>262.29999999999995</v>
      </c>
    </row>
    <row r="265" spans="1:15" ht="15" customHeight="1" x14ac:dyDescent="0.3">
      <c r="A265" s="6" t="s">
        <v>491</v>
      </c>
      <c r="B265" s="6" t="s">
        <v>348</v>
      </c>
      <c r="C265" s="8">
        <v>34.200000000000003</v>
      </c>
      <c r="D265" s="8">
        <v>29.1</v>
      </c>
      <c r="E265" s="8">
        <v>30.6</v>
      </c>
      <c r="F265" s="8">
        <v>27.4</v>
      </c>
      <c r="G265" s="8">
        <v>19.600000000000001</v>
      </c>
      <c r="H265" s="8">
        <v>9.1</v>
      </c>
      <c r="I265" s="8">
        <v>29.2</v>
      </c>
      <c r="J265" s="8">
        <v>22.5</v>
      </c>
      <c r="K265" s="8">
        <v>20</v>
      </c>
      <c r="L265" s="8">
        <v>21.5</v>
      </c>
      <c r="M265" s="8"/>
      <c r="N265" s="8"/>
      <c r="O265" s="28">
        <f t="shared" si="4"/>
        <v>243.2</v>
      </c>
    </row>
    <row r="266" spans="1:15" ht="15" customHeight="1" x14ac:dyDescent="0.3">
      <c r="A266" s="6" t="s">
        <v>358</v>
      </c>
      <c r="B266" s="6" t="s">
        <v>352</v>
      </c>
      <c r="C266" s="8">
        <v>21.7</v>
      </c>
      <c r="D266" s="8">
        <v>25.5</v>
      </c>
      <c r="E266" s="8">
        <v>25.7</v>
      </c>
      <c r="F266" s="8">
        <v>15</v>
      </c>
      <c r="G266" s="8">
        <v>19.5</v>
      </c>
      <c r="H266" s="8">
        <v>7.1</v>
      </c>
      <c r="I266" s="8">
        <v>23.6</v>
      </c>
      <c r="J266" s="8">
        <v>23.5</v>
      </c>
      <c r="K266" s="8">
        <v>23.1</v>
      </c>
      <c r="L266" s="8">
        <v>19.600000000000001</v>
      </c>
      <c r="M266" s="8">
        <v>18.399999999999999</v>
      </c>
      <c r="N266" s="8">
        <v>17.5</v>
      </c>
      <c r="O266" s="28">
        <f t="shared" si="4"/>
        <v>240.2</v>
      </c>
    </row>
    <row r="267" spans="1:15" ht="15" customHeight="1" x14ac:dyDescent="0.3">
      <c r="A267" s="6" t="s">
        <v>492</v>
      </c>
      <c r="B267" s="6" t="s">
        <v>71</v>
      </c>
      <c r="C267" s="8">
        <v>160.4</v>
      </c>
      <c r="D267" s="8">
        <v>75.8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28">
        <f t="shared" si="4"/>
        <v>236.2</v>
      </c>
    </row>
    <row r="268" spans="1:15" ht="15" customHeight="1" x14ac:dyDescent="0.3">
      <c r="A268" s="6" t="s">
        <v>359</v>
      </c>
      <c r="B268" s="6" t="s">
        <v>85</v>
      </c>
      <c r="C268" s="8">
        <v>18.600000000000001</v>
      </c>
      <c r="D268" s="8">
        <v>16.899999999999999</v>
      </c>
      <c r="E268" s="8">
        <v>17.600000000000001</v>
      </c>
      <c r="F268" s="8">
        <v>17.600000000000001</v>
      </c>
      <c r="G268" s="8">
        <v>18.600000000000001</v>
      </c>
      <c r="H268" s="8">
        <v>16.899999999999999</v>
      </c>
      <c r="I268" s="8">
        <v>16.899999999999999</v>
      </c>
      <c r="J268" s="8">
        <v>22.1</v>
      </c>
      <c r="K268" s="8">
        <v>21</v>
      </c>
      <c r="L268" s="8">
        <v>14.5</v>
      </c>
      <c r="M268" s="8">
        <v>26.2</v>
      </c>
      <c r="N268" s="8">
        <v>27.6</v>
      </c>
      <c r="O268" s="28">
        <f t="shared" si="4"/>
        <v>234.5</v>
      </c>
    </row>
    <row r="269" spans="1:15" ht="15" customHeight="1" x14ac:dyDescent="0.3">
      <c r="A269" s="6" t="s">
        <v>493</v>
      </c>
      <c r="B269" s="6" t="s">
        <v>272</v>
      </c>
      <c r="C269" s="8">
        <v>23</v>
      </c>
      <c r="D269" s="8">
        <v>20.100000000000001</v>
      </c>
      <c r="E269" s="8">
        <v>24.2</v>
      </c>
      <c r="F269" s="8">
        <v>20.9</v>
      </c>
      <c r="G269" s="8">
        <v>22</v>
      </c>
      <c r="H269" s="8">
        <v>17.5</v>
      </c>
      <c r="I269" s="8">
        <v>22.6</v>
      </c>
      <c r="J269" s="8">
        <v>20.7</v>
      </c>
      <c r="K269" s="8">
        <v>15.4</v>
      </c>
      <c r="L269" s="8">
        <v>21.3</v>
      </c>
      <c r="M269" s="8">
        <v>20.2</v>
      </c>
      <c r="N269" s="8">
        <v>5</v>
      </c>
      <c r="O269" s="28">
        <f t="shared" si="4"/>
        <v>232.89999999999998</v>
      </c>
    </row>
    <row r="270" spans="1:15" ht="15" customHeight="1" x14ac:dyDescent="0.3">
      <c r="A270" s="6" t="s">
        <v>494</v>
      </c>
      <c r="B270" s="6" t="s">
        <v>437</v>
      </c>
      <c r="C270" s="8"/>
      <c r="D270" s="8"/>
      <c r="E270" s="8"/>
      <c r="F270" s="8"/>
      <c r="G270" s="8">
        <v>17.899999999999999</v>
      </c>
      <c r="H270" s="8">
        <v>77.599999999999994</v>
      </c>
      <c r="I270" s="8">
        <v>93.8</v>
      </c>
      <c r="J270" s="8"/>
      <c r="K270" s="8"/>
      <c r="L270" s="8"/>
      <c r="M270" s="8"/>
      <c r="N270" s="8"/>
      <c r="O270" s="28">
        <f t="shared" si="4"/>
        <v>189.3</v>
      </c>
    </row>
    <row r="271" spans="1:15" ht="15" customHeight="1" x14ac:dyDescent="0.3">
      <c r="A271" s="6" t="s">
        <v>495</v>
      </c>
      <c r="B271" s="6" t="s">
        <v>85</v>
      </c>
      <c r="C271" s="8">
        <v>57.2</v>
      </c>
      <c r="D271" s="8">
        <v>52.2</v>
      </c>
      <c r="E271" s="8">
        <v>57.4</v>
      </c>
      <c r="F271" s="8">
        <v>21</v>
      </c>
      <c r="G271" s="8"/>
      <c r="H271" s="8"/>
      <c r="I271" s="8"/>
      <c r="J271" s="8"/>
      <c r="K271" s="8"/>
      <c r="L271" s="8"/>
      <c r="M271" s="8"/>
      <c r="N271" s="8"/>
      <c r="O271" s="28">
        <f t="shared" si="4"/>
        <v>187.8</v>
      </c>
    </row>
    <row r="272" spans="1:15" ht="15" customHeight="1" x14ac:dyDescent="0.3">
      <c r="A272" s="6" t="s">
        <v>496</v>
      </c>
      <c r="B272" s="6" t="s">
        <v>497</v>
      </c>
      <c r="C272" s="8"/>
      <c r="D272" s="8">
        <v>5.9</v>
      </c>
      <c r="E272" s="8">
        <v>162.30000000000001</v>
      </c>
      <c r="F272" s="8"/>
      <c r="G272" s="8"/>
      <c r="H272" s="8"/>
      <c r="I272" s="8"/>
      <c r="J272" s="8"/>
      <c r="K272" s="8"/>
      <c r="L272" s="8"/>
      <c r="M272" s="8"/>
      <c r="N272" s="8"/>
      <c r="O272" s="28">
        <f t="shared" si="4"/>
        <v>168.20000000000002</v>
      </c>
    </row>
    <row r="273" spans="1:15" ht="15" customHeight="1" x14ac:dyDescent="0.3">
      <c r="A273" s="6" t="s">
        <v>499</v>
      </c>
      <c r="B273" s="6" t="s">
        <v>348</v>
      </c>
      <c r="C273" s="8">
        <v>22</v>
      </c>
      <c r="D273" s="8">
        <v>25.2</v>
      </c>
      <c r="E273" s="8">
        <v>27.2</v>
      </c>
      <c r="F273" s="8">
        <v>26.7</v>
      </c>
      <c r="G273" s="8">
        <v>23.4</v>
      </c>
      <c r="H273" s="8">
        <v>25.1</v>
      </c>
      <c r="I273" s="8">
        <v>17.2</v>
      </c>
      <c r="J273" s="8"/>
      <c r="K273" s="8"/>
      <c r="L273" s="8"/>
      <c r="M273" s="8"/>
      <c r="N273" s="8"/>
      <c r="O273" s="28">
        <f t="shared" si="4"/>
        <v>166.79999999999998</v>
      </c>
    </row>
    <row r="274" spans="1:15" ht="15" customHeight="1" x14ac:dyDescent="0.3">
      <c r="A274" s="6" t="s">
        <v>500</v>
      </c>
      <c r="B274" s="6" t="s">
        <v>437</v>
      </c>
      <c r="C274" s="8"/>
      <c r="D274" s="8"/>
      <c r="E274" s="8"/>
      <c r="F274" s="8"/>
      <c r="G274" s="8">
        <v>9.6</v>
      </c>
      <c r="H274" s="8">
        <v>54.1</v>
      </c>
      <c r="I274" s="8">
        <v>48.2</v>
      </c>
      <c r="J274" s="8"/>
      <c r="K274" s="8"/>
      <c r="L274" s="8"/>
      <c r="M274" s="8"/>
      <c r="N274" s="8"/>
      <c r="O274" s="28">
        <f t="shared" si="4"/>
        <v>111.9</v>
      </c>
    </row>
    <row r="275" spans="1:15" ht="15" customHeight="1" x14ac:dyDescent="0.3">
      <c r="A275" s="6" t="s">
        <v>501</v>
      </c>
      <c r="B275" s="6" t="s">
        <v>502</v>
      </c>
      <c r="C275" s="8"/>
      <c r="D275" s="8"/>
      <c r="E275" s="8">
        <v>110.2</v>
      </c>
      <c r="F275" s="8"/>
      <c r="G275" s="8"/>
      <c r="H275" s="8"/>
      <c r="I275" s="8"/>
      <c r="J275" s="8"/>
      <c r="K275" s="8"/>
      <c r="L275" s="8"/>
      <c r="M275" s="8"/>
      <c r="N275" s="8"/>
      <c r="O275" s="28">
        <f t="shared" si="4"/>
        <v>110.2</v>
      </c>
    </row>
    <row r="276" spans="1:15" ht="15" customHeight="1" x14ac:dyDescent="0.3">
      <c r="A276" s="6" t="s">
        <v>504</v>
      </c>
      <c r="B276" s="6" t="s">
        <v>505</v>
      </c>
      <c r="C276" s="8"/>
      <c r="D276" s="8">
        <v>0.2</v>
      </c>
      <c r="E276" s="8">
        <v>89</v>
      </c>
      <c r="F276" s="8"/>
      <c r="G276" s="8"/>
      <c r="H276" s="8"/>
      <c r="I276" s="8"/>
      <c r="J276" s="8"/>
      <c r="K276" s="8"/>
      <c r="L276" s="8"/>
      <c r="M276" s="8"/>
      <c r="N276" s="8"/>
      <c r="O276" s="28">
        <f t="shared" si="4"/>
        <v>89.2</v>
      </c>
    </row>
    <row r="277" spans="1:15" ht="15" customHeight="1" x14ac:dyDescent="0.3">
      <c r="A277" s="6" t="s">
        <v>507</v>
      </c>
      <c r="B277" s="6" t="s">
        <v>508</v>
      </c>
      <c r="C277" s="8"/>
      <c r="D277" s="8">
        <v>32.5</v>
      </c>
      <c r="E277" s="8">
        <v>47.6</v>
      </c>
      <c r="F277" s="8"/>
      <c r="G277" s="8"/>
      <c r="H277" s="8"/>
      <c r="I277" s="8"/>
      <c r="J277" s="8"/>
      <c r="K277" s="8"/>
      <c r="L277" s="8"/>
      <c r="M277" s="8"/>
      <c r="N277" s="8"/>
      <c r="O277" s="28">
        <f t="shared" si="4"/>
        <v>80.099999999999994</v>
      </c>
    </row>
    <row r="278" spans="1:15" ht="15" customHeight="1" x14ac:dyDescent="0.3">
      <c r="A278" s="6" t="s">
        <v>510</v>
      </c>
      <c r="B278" s="6" t="s">
        <v>71</v>
      </c>
      <c r="C278" s="8">
        <v>1.4</v>
      </c>
      <c r="D278" s="8">
        <v>72.8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28">
        <f t="shared" si="4"/>
        <v>74.2</v>
      </c>
    </row>
    <row r="279" spans="1:15" ht="15" customHeight="1" x14ac:dyDescent="0.3">
      <c r="A279" s="6" t="s">
        <v>511</v>
      </c>
      <c r="B279" s="6" t="s">
        <v>55</v>
      </c>
      <c r="C279" s="8"/>
      <c r="D279" s="8">
        <v>11.4</v>
      </c>
      <c r="E279" s="8">
        <v>49.9</v>
      </c>
      <c r="F279" s="8"/>
      <c r="G279" s="8"/>
      <c r="H279" s="8"/>
      <c r="I279" s="8"/>
      <c r="J279" s="8"/>
      <c r="K279" s="8"/>
      <c r="L279" s="8"/>
      <c r="M279" s="8"/>
      <c r="N279" s="8"/>
      <c r="O279" s="28">
        <f t="shared" si="4"/>
        <v>61.3</v>
      </c>
    </row>
    <row r="280" spans="1:15" ht="15" customHeight="1" x14ac:dyDescent="0.3">
      <c r="A280" s="6" t="s">
        <v>512</v>
      </c>
      <c r="B280" s="6" t="s">
        <v>513</v>
      </c>
      <c r="C280" s="8"/>
      <c r="D280" s="8"/>
      <c r="E280" s="8">
        <v>20.399999999999999</v>
      </c>
      <c r="F280" s="8"/>
      <c r="G280" s="8"/>
      <c r="H280" s="8"/>
      <c r="I280" s="8"/>
      <c r="J280" s="8"/>
      <c r="K280" s="8"/>
      <c r="L280" s="8"/>
      <c r="M280" s="8"/>
      <c r="N280" s="8">
        <v>20.8</v>
      </c>
      <c r="O280" s="28">
        <f t="shared" si="4"/>
        <v>41.2</v>
      </c>
    </row>
    <row r="281" spans="1:15" ht="15" customHeight="1" x14ac:dyDescent="0.3">
      <c r="A281" s="6" t="s">
        <v>515</v>
      </c>
      <c r="B281" s="6" t="s">
        <v>516</v>
      </c>
      <c r="C281" s="8">
        <v>15.9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28">
        <f t="shared" si="4"/>
        <v>15.9</v>
      </c>
    </row>
    <row r="282" spans="1:15" ht="15" customHeight="1" x14ac:dyDescent="0.3">
      <c r="A282" s="6" t="s">
        <v>518</v>
      </c>
      <c r="B282" s="6" t="s">
        <v>516</v>
      </c>
      <c r="C282" s="8">
        <v>11.4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28">
        <f t="shared" si="4"/>
        <v>11.4</v>
      </c>
    </row>
    <row r="283" spans="1:15" ht="15" customHeight="1" x14ac:dyDescent="0.3">
      <c r="A283" s="6" t="s">
        <v>519</v>
      </c>
      <c r="B283" s="6" t="s">
        <v>516</v>
      </c>
      <c r="C283" s="8">
        <v>3.4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28">
        <f t="shared" si="4"/>
        <v>3.4</v>
      </c>
    </row>
    <row r="284" spans="1:15" ht="15" customHeight="1" x14ac:dyDescent="0.3">
      <c r="A284" s="6" t="s">
        <v>520</v>
      </c>
      <c r="B284" s="6" t="s">
        <v>508</v>
      </c>
      <c r="C284" s="8"/>
      <c r="D284" s="8">
        <v>2.1</v>
      </c>
      <c r="E284" s="8">
        <v>0.1</v>
      </c>
      <c r="F284" s="8"/>
      <c r="G284" s="8"/>
      <c r="H284" s="8"/>
      <c r="I284" s="8"/>
      <c r="J284" s="8"/>
      <c r="K284" s="8"/>
      <c r="L284" s="8"/>
      <c r="M284" s="8"/>
      <c r="N284" s="8"/>
      <c r="O284" s="28">
        <f t="shared" si="4"/>
        <v>2.2000000000000002</v>
      </c>
    </row>
    <row r="285" spans="1:15" ht="15" customHeight="1" x14ac:dyDescent="0.3">
      <c r="A285" s="6" t="s">
        <v>521</v>
      </c>
      <c r="B285" s="6" t="s">
        <v>65</v>
      </c>
      <c r="C285" s="8">
        <v>1.7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28">
        <f t="shared" si="4"/>
        <v>1.7</v>
      </c>
    </row>
    <row r="286" spans="1:15" ht="15" customHeight="1" x14ac:dyDescent="0.3">
      <c r="A286" s="6" t="s">
        <v>522</v>
      </c>
      <c r="B286" s="6" t="s">
        <v>286</v>
      </c>
      <c r="C286" s="8">
        <v>1.2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28">
        <f t="shared" si="4"/>
        <v>1.2</v>
      </c>
    </row>
    <row r="287" spans="1:15" ht="15" customHeight="1" x14ac:dyDescent="0.3">
      <c r="A287" s="6" t="s">
        <v>523</v>
      </c>
      <c r="B287" s="6" t="s">
        <v>524</v>
      </c>
      <c r="C287" s="8"/>
      <c r="D287" s="8"/>
      <c r="E287" s="8"/>
      <c r="F287" s="8"/>
      <c r="G287" s="8">
        <v>0.2</v>
      </c>
      <c r="H287" s="8"/>
      <c r="I287" s="8"/>
      <c r="J287" s="8"/>
      <c r="K287" s="8"/>
      <c r="L287" s="8"/>
      <c r="M287" s="8"/>
      <c r="N287" s="8"/>
      <c r="O287" s="28">
        <f t="shared" si="4"/>
        <v>0.2</v>
      </c>
    </row>
    <row r="288" spans="1:15" ht="15" customHeight="1" x14ac:dyDescent="0.3">
      <c r="A288" s="6" t="s">
        <v>526</v>
      </c>
      <c r="B288" s="6" t="s">
        <v>508</v>
      </c>
      <c r="C288" s="8">
        <v>0.1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8">
        <f t="shared" si="4"/>
        <v>0.1</v>
      </c>
    </row>
    <row r="289" spans="1:15" ht="15" customHeight="1" x14ac:dyDescent="0.3">
      <c r="A289" s="24" t="s">
        <v>553</v>
      </c>
      <c r="C289" s="25">
        <f t="shared" ref="C289:O289" si="5">SUM(C4:C288)</f>
        <v>54364.89999999998</v>
      </c>
      <c r="D289" s="25">
        <f t="shared" si="5"/>
        <v>48185.200000000041</v>
      </c>
      <c r="E289" s="25">
        <f t="shared" si="5"/>
        <v>51745.499999999971</v>
      </c>
      <c r="F289" s="25">
        <f t="shared" si="5"/>
        <v>53226.200000000012</v>
      </c>
      <c r="G289" s="25">
        <f t="shared" si="5"/>
        <v>64182.599999999955</v>
      </c>
      <c r="H289" s="25">
        <f t="shared" si="5"/>
        <v>58202.099999999948</v>
      </c>
      <c r="I289" s="25">
        <f t="shared" si="5"/>
        <v>54138.799999999988</v>
      </c>
      <c r="J289" s="25">
        <f t="shared" si="5"/>
        <v>64620.899999999987</v>
      </c>
      <c r="K289" s="25">
        <f t="shared" si="5"/>
        <v>64578.999999999964</v>
      </c>
      <c r="L289" s="25">
        <f t="shared" si="5"/>
        <v>66020.899999999994</v>
      </c>
      <c r="M289" s="25">
        <f t="shared" si="5"/>
        <v>62781.700000000041</v>
      </c>
      <c r="N289" s="25">
        <f t="shared" si="5"/>
        <v>61783.699999999968</v>
      </c>
      <c r="O289" s="25">
        <f t="shared" si="5"/>
        <v>703831.49999999977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5" customHeight="1" x14ac:dyDescent="0.3"/>
  <cols>
    <col min="1" max="1" width="28" customWidth="1"/>
    <col min="2" max="2" width="34" customWidth="1"/>
    <col min="3" max="14" width="11" customWidth="1"/>
    <col min="15" max="15" width="13" customWidth="1"/>
  </cols>
  <sheetData>
    <row r="1" spans="1:15" ht="17.25" customHeight="1" x14ac:dyDescent="0.3">
      <c r="A1" s="3" t="s">
        <v>556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" customHeight="1" x14ac:dyDescent="0.3">
      <c r="A2" s="2" t="s">
        <v>557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ht="15" customHeight="1" x14ac:dyDescent="0.3">
      <c r="A4" s="27" t="s">
        <v>4</v>
      </c>
      <c r="B4" s="27" t="s">
        <v>529</v>
      </c>
      <c r="C4" s="27" t="s">
        <v>532</v>
      </c>
      <c r="D4" s="27" t="s">
        <v>377</v>
      </c>
      <c r="E4" s="27" t="s">
        <v>364</v>
      </c>
      <c r="F4" s="27" t="s">
        <v>399</v>
      </c>
      <c r="G4" s="27" t="s">
        <v>416</v>
      </c>
      <c r="H4" s="27" t="s">
        <v>413</v>
      </c>
      <c r="I4" s="27" t="s">
        <v>388</v>
      </c>
      <c r="J4" s="27" t="s">
        <v>394</v>
      </c>
      <c r="K4" s="27" t="s">
        <v>425</v>
      </c>
      <c r="L4" s="27" t="s">
        <v>411</v>
      </c>
      <c r="M4" s="27" t="s">
        <v>470</v>
      </c>
      <c r="N4" s="27" t="s">
        <v>480</v>
      </c>
      <c r="O4" s="27" t="s">
        <v>555</v>
      </c>
    </row>
    <row r="5" spans="1:15" ht="15" customHeight="1" x14ac:dyDescent="0.3">
      <c r="A5" s="6" t="s">
        <v>385</v>
      </c>
      <c r="B5" s="6" t="s">
        <v>386</v>
      </c>
      <c r="C5" s="8"/>
      <c r="D5" s="8"/>
      <c r="E5" s="8"/>
      <c r="F5" s="8"/>
      <c r="G5" s="8">
        <v>451.1</v>
      </c>
      <c r="H5" s="8">
        <v>492.8</v>
      </c>
      <c r="I5" s="8">
        <v>366.2</v>
      </c>
      <c r="J5" s="8">
        <v>403.6</v>
      </c>
      <c r="K5" s="8">
        <v>341.2</v>
      </c>
      <c r="L5" s="8">
        <v>332.9</v>
      </c>
      <c r="M5" s="8">
        <v>314.5</v>
      </c>
      <c r="N5" s="8">
        <v>273.5</v>
      </c>
      <c r="O5" s="28">
        <f>IF('Well Summary'!I5&gt;0,'Well Summary'!F5/('Well Summary'!I5/24),0)</f>
        <v>371.91534922526819</v>
      </c>
    </row>
    <row r="6" spans="1:15" ht="15" customHeight="1" x14ac:dyDescent="0.3">
      <c r="A6" s="6" t="s">
        <v>15</v>
      </c>
      <c r="B6" s="6" t="s">
        <v>16</v>
      </c>
      <c r="C6" s="8">
        <v>216.3</v>
      </c>
      <c r="D6" s="8">
        <v>287.89999999999998</v>
      </c>
      <c r="E6" s="8">
        <v>264.7</v>
      </c>
      <c r="F6" s="8">
        <v>212.1</v>
      </c>
      <c r="G6" s="8">
        <v>205.4</v>
      </c>
      <c r="H6" s="8">
        <v>227.5</v>
      </c>
      <c r="I6" s="8">
        <v>231.9</v>
      </c>
      <c r="J6" s="8">
        <v>215.4</v>
      </c>
      <c r="K6" s="8">
        <v>203</v>
      </c>
      <c r="L6" s="8">
        <v>185.2</v>
      </c>
      <c r="M6" s="8">
        <v>117</v>
      </c>
      <c r="N6" s="8">
        <v>137.30000000000001</v>
      </c>
      <c r="O6" s="28">
        <f>IF('Well Summary'!I6&gt;0,'Well Summary'!F6/('Well Summary'!I6/24),0)</f>
        <v>207.92413852941172</v>
      </c>
    </row>
    <row r="7" spans="1:15" ht="15" customHeight="1" x14ac:dyDescent="0.3">
      <c r="A7" s="6" t="s">
        <v>428</v>
      </c>
      <c r="B7" s="6" t="s">
        <v>23</v>
      </c>
      <c r="C7" s="8"/>
      <c r="D7" s="8"/>
      <c r="E7" s="8"/>
      <c r="F7" s="8">
        <v>265.89999999999998</v>
      </c>
      <c r="G7" s="8">
        <v>408.8</v>
      </c>
      <c r="H7" s="8">
        <v>315.2</v>
      </c>
      <c r="I7" s="8">
        <v>286</v>
      </c>
      <c r="J7" s="8">
        <v>320.2</v>
      </c>
      <c r="K7" s="8">
        <v>341.5</v>
      </c>
      <c r="L7" s="8">
        <v>239.8</v>
      </c>
      <c r="M7" s="8">
        <v>232.1</v>
      </c>
      <c r="N7" s="8">
        <v>211.5</v>
      </c>
      <c r="O7" s="28">
        <f>IF('Well Summary'!I7&gt;0,'Well Summary'!F7/('Well Summary'!I7/24),0)</f>
        <v>292.19267429868654</v>
      </c>
    </row>
    <row r="8" spans="1:15" ht="15" customHeight="1" x14ac:dyDescent="0.3">
      <c r="A8" s="6" t="s">
        <v>430</v>
      </c>
      <c r="B8" s="6" t="s">
        <v>397</v>
      </c>
      <c r="C8" s="8"/>
      <c r="D8" s="8"/>
      <c r="E8" s="8"/>
      <c r="F8" s="8"/>
      <c r="G8" s="8">
        <v>379.1</v>
      </c>
      <c r="H8" s="8">
        <v>379.4</v>
      </c>
      <c r="I8" s="8">
        <v>298.8</v>
      </c>
      <c r="J8" s="8">
        <v>299.60000000000002</v>
      </c>
      <c r="K8" s="8">
        <v>261.5</v>
      </c>
      <c r="L8" s="8">
        <v>241.3</v>
      </c>
      <c r="M8" s="8">
        <v>221.6</v>
      </c>
      <c r="N8" s="8">
        <v>272.39999999999998</v>
      </c>
      <c r="O8" s="28">
        <f>IF('Well Summary'!I8&gt;0,'Well Summary'!F8/('Well Summary'!I8/24),0)</f>
        <v>293.80450369051692</v>
      </c>
    </row>
    <row r="9" spans="1:15" ht="15" customHeight="1" x14ac:dyDescent="0.3">
      <c r="A9" s="6" t="s">
        <v>19</v>
      </c>
      <c r="B9" s="6" t="s">
        <v>20</v>
      </c>
      <c r="C9" s="8">
        <v>265.5</v>
      </c>
      <c r="D9" s="8">
        <v>249.7</v>
      </c>
      <c r="E9" s="8">
        <v>211.6</v>
      </c>
      <c r="F9" s="8">
        <v>194.8</v>
      </c>
      <c r="G9" s="8">
        <v>183.6</v>
      </c>
      <c r="H9" s="8">
        <v>168.5</v>
      </c>
      <c r="I9" s="8">
        <v>170</v>
      </c>
      <c r="J9" s="8">
        <v>165.1</v>
      </c>
      <c r="K9" s="8">
        <v>153.30000000000001</v>
      </c>
      <c r="L9" s="8">
        <v>142.9</v>
      </c>
      <c r="M9" s="8">
        <v>130.69999999999999</v>
      </c>
      <c r="N9" s="8">
        <v>118.6</v>
      </c>
      <c r="O9" s="28">
        <f>IF('Well Summary'!I9&gt;0,'Well Summary'!F9/('Well Summary'!I9/24),0)</f>
        <v>179.14396664000913</v>
      </c>
    </row>
    <row r="10" spans="1:15" ht="15" customHeight="1" x14ac:dyDescent="0.3">
      <c r="A10" s="6" t="s">
        <v>22</v>
      </c>
      <c r="B10" s="6" t="s">
        <v>23</v>
      </c>
      <c r="C10" s="8">
        <v>222.9</v>
      </c>
      <c r="D10" s="8">
        <v>221.8</v>
      </c>
      <c r="E10" s="8">
        <v>220.4</v>
      </c>
      <c r="F10" s="8">
        <v>197</v>
      </c>
      <c r="G10" s="8">
        <v>239.1</v>
      </c>
      <c r="H10" s="8">
        <v>157.4</v>
      </c>
      <c r="I10" s="8">
        <v>154.5</v>
      </c>
      <c r="J10" s="8">
        <v>168.3</v>
      </c>
      <c r="K10" s="8">
        <v>161.6</v>
      </c>
      <c r="L10" s="8">
        <v>152.69999999999999</v>
      </c>
      <c r="M10" s="8">
        <v>146.6</v>
      </c>
      <c r="N10" s="8">
        <v>158.30000000000001</v>
      </c>
      <c r="O10" s="28">
        <f>IF('Well Summary'!I10&gt;0,'Well Summary'!F10/('Well Summary'!I10/24),0)</f>
        <v>183.11591335990619</v>
      </c>
    </row>
    <row r="11" spans="1:15" ht="15" customHeight="1" x14ac:dyDescent="0.3">
      <c r="A11" s="6" t="s">
        <v>25</v>
      </c>
      <c r="B11" s="6" t="s">
        <v>26</v>
      </c>
      <c r="C11" s="8">
        <v>292.8</v>
      </c>
      <c r="D11" s="8">
        <v>239.1</v>
      </c>
      <c r="E11" s="8">
        <v>302.39999999999998</v>
      </c>
      <c r="F11" s="8">
        <v>243.8</v>
      </c>
      <c r="G11" s="8">
        <v>183.9</v>
      </c>
      <c r="H11" s="8">
        <v>139.4</v>
      </c>
      <c r="I11" s="8">
        <v>93.1</v>
      </c>
      <c r="J11" s="8">
        <v>105.3</v>
      </c>
      <c r="K11" s="8">
        <v>140.30000000000001</v>
      </c>
      <c r="L11" s="8">
        <v>126.2</v>
      </c>
      <c r="M11" s="8">
        <v>125</v>
      </c>
      <c r="N11" s="8">
        <v>113.8</v>
      </c>
      <c r="O11" s="28">
        <f>IF('Well Summary'!I11&gt;0,'Well Summary'!F11/('Well Summary'!I11/24),0)</f>
        <v>174.37417052262361</v>
      </c>
    </row>
    <row r="12" spans="1:15" ht="15" customHeight="1" x14ac:dyDescent="0.3">
      <c r="A12" s="6" t="s">
        <v>432</v>
      </c>
      <c r="B12" s="6" t="s">
        <v>362</v>
      </c>
      <c r="C12" s="8"/>
      <c r="D12" s="8"/>
      <c r="E12" s="8"/>
      <c r="F12" s="8">
        <v>302.5</v>
      </c>
      <c r="G12" s="8">
        <v>393.3</v>
      </c>
      <c r="H12" s="8">
        <v>359.4</v>
      </c>
      <c r="I12" s="8">
        <v>301</v>
      </c>
      <c r="J12" s="8">
        <v>229.3</v>
      </c>
      <c r="K12" s="8">
        <v>181.7</v>
      </c>
      <c r="L12" s="8">
        <v>163.6</v>
      </c>
      <c r="M12" s="8">
        <v>136.4</v>
      </c>
      <c r="N12" s="8">
        <v>128.30000000000001</v>
      </c>
      <c r="O12" s="28">
        <f>IF('Well Summary'!I12&gt;0,'Well Summary'!F12/('Well Summary'!I12/24),0)</f>
        <v>239.49288642544212</v>
      </c>
    </row>
    <row r="13" spans="1:15" ht="15" customHeight="1" x14ac:dyDescent="0.3">
      <c r="A13" s="6" t="s">
        <v>28</v>
      </c>
      <c r="B13" s="6" t="s">
        <v>29</v>
      </c>
      <c r="C13" s="8">
        <v>251.2</v>
      </c>
      <c r="D13" s="8">
        <v>216.5</v>
      </c>
      <c r="E13" s="8">
        <v>197.7</v>
      </c>
      <c r="F13" s="8">
        <v>187</v>
      </c>
      <c r="G13" s="8">
        <v>176.9</v>
      </c>
      <c r="H13" s="8">
        <v>195.1</v>
      </c>
      <c r="I13" s="8">
        <v>157.6</v>
      </c>
      <c r="J13" s="8">
        <v>145.9</v>
      </c>
      <c r="K13" s="8">
        <v>129.19999999999999</v>
      </c>
      <c r="L13" s="8">
        <v>130.19999999999999</v>
      </c>
      <c r="M13" s="8">
        <v>127.4</v>
      </c>
      <c r="N13" s="8">
        <v>109.4</v>
      </c>
      <c r="O13" s="28">
        <f>IF('Well Summary'!I13&gt;0,'Well Summary'!F13/('Well Summary'!I13/24),0)</f>
        <v>168.4049395438839</v>
      </c>
    </row>
    <row r="14" spans="1:15" ht="15" customHeight="1" x14ac:dyDescent="0.3">
      <c r="A14" s="6" t="s">
        <v>433</v>
      </c>
      <c r="B14" s="6" t="s">
        <v>23</v>
      </c>
      <c r="C14" s="8"/>
      <c r="D14" s="8"/>
      <c r="E14" s="8"/>
      <c r="F14" s="8">
        <v>326.39999999999998</v>
      </c>
      <c r="G14" s="8">
        <v>283.5</v>
      </c>
      <c r="H14" s="8">
        <v>303.39999999999998</v>
      </c>
      <c r="I14" s="8">
        <v>240.8</v>
      </c>
      <c r="J14" s="8">
        <v>168.8</v>
      </c>
      <c r="K14" s="8">
        <v>190.1</v>
      </c>
      <c r="L14" s="8">
        <v>169.5</v>
      </c>
      <c r="M14" s="8">
        <v>177.9</v>
      </c>
      <c r="N14" s="8">
        <v>164.4</v>
      </c>
      <c r="O14" s="28">
        <f>IF('Well Summary'!I14&gt;0,'Well Summary'!F14/('Well Summary'!I14/24),0)</f>
        <v>220.26206279373366</v>
      </c>
    </row>
    <row r="15" spans="1:15" ht="15" customHeight="1" x14ac:dyDescent="0.3">
      <c r="A15" s="6" t="s">
        <v>31</v>
      </c>
      <c r="B15" s="6" t="s">
        <v>20</v>
      </c>
      <c r="C15" s="8">
        <v>265.7</v>
      </c>
      <c r="D15" s="8">
        <v>218.5</v>
      </c>
      <c r="E15" s="8">
        <v>203.1</v>
      </c>
      <c r="F15" s="8">
        <v>186.2</v>
      </c>
      <c r="G15" s="8">
        <v>156</v>
      </c>
      <c r="H15" s="8">
        <v>156.9</v>
      </c>
      <c r="I15" s="8">
        <v>140.9</v>
      </c>
      <c r="J15" s="8">
        <v>122.1</v>
      </c>
      <c r="K15" s="8">
        <v>107.8</v>
      </c>
      <c r="L15" s="8">
        <v>98.9</v>
      </c>
      <c r="M15" s="8">
        <v>94.1</v>
      </c>
      <c r="N15" s="8">
        <v>89.9</v>
      </c>
      <c r="O15" s="28">
        <f>IF('Well Summary'!I15&gt;0,'Well Summary'!F15/('Well Summary'!I15/24),0)</f>
        <v>152.83823867677464</v>
      </c>
    </row>
    <row r="16" spans="1:15" ht="15" customHeight="1" x14ac:dyDescent="0.3">
      <c r="A16" s="6" t="s">
        <v>434</v>
      </c>
      <c r="B16" s="6" t="s">
        <v>386</v>
      </c>
      <c r="C16" s="8"/>
      <c r="D16" s="8"/>
      <c r="E16" s="8"/>
      <c r="F16" s="8"/>
      <c r="G16" s="8"/>
      <c r="H16" s="8"/>
      <c r="I16" s="8"/>
      <c r="J16" s="8">
        <v>462.2</v>
      </c>
      <c r="K16" s="8">
        <v>450.3</v>
      </c>
      <c r="L16" s="8">
        <v>330.5</v>
      </c>
      <c r="M16" s="8">
        <v>281.3</v>
      </c>
      <c r="N16" s="8">
        <v>299.2</v>
      </c>
      <c r="O16" s="28">
        <f>IF('Well Summary'!I16&gt;0,'Well Summary'!F16/('Well Summary'!I16/24),0)</f>
        <v>368.27683746835442</v>
      </c>
    </row>
    <row r="17" spans="1:15" ht="15" customHeight="1" x14ac:dyDescent="0.3">
      <c r="A17" s="6" t="s">
        <v>361</v>
      </c>
      <c r="B17" s="6" t="s">
        <v>362</v>
      </c>
      <c r="C17" s="8"/>
      <c r="D17" s="8"/>
      <c r="E17" s="8">
        <v>193.5</v>
      </c>
      <c r="F17" s="8">
        <v>308.89999999999998</v>
      </c>
      <c r="G17" s="8">
        <v>262.39999999999998</v>
      </c>
      <c r="H17" s="8">
        <v>220.5</v>
      </c>
      <c r="I17" s="8">
        <v>199.7</v>
      </c>
      <c r="J17" s="8">
        <v>175</v>
      </c>
      <c r="K17" s="8">
        <v>139.9</v>
      </c>
      <c r="L17" s="8">
        <v>131.6</v>
      </c>
      <c r="M17" s="8">
        <v>118</v>
      </c>
      <c r="N17" s="8">
        <v>106.9</v>
      </c>
      <c r="O17" s="28">
        <f>IF('Well Summary'!I17&gt;0,'Well Summary'!F17/('Well Summary'!I17/24),0)</f>
        <v>183.68569389067525</v>
      </c>
    </row>
    <row r="18" spans="1:15" ht="15" customHeight="1" x14ac:dyDescent="0.3">
      <c r="A18" s="6" t="s">
        <v>32</v>
      </c>
      <c r="B18" s="6" t="s">
        <v>33</v>
      </c>
      <c r="C18" s="8">
        <v>195</v>
      </c>
      <c r="D18" s="8">
        <v>190.8</v>
      </c>
      <c r="E18" s="8">
        <v>153.4</v>
      </c>
      <c r="F18" s="8">
        <v>216.6</v>
      </c>
      <c r="G18" s="8">
        <v>206.4</v>
      </c>
      <c r="H18" s="8">
        <v>208.6</v>
      </c>
      <c r="I18" s="8">
        <v>142</v>
      </c>
      <c r="J18" s="8">
        <v>124.3</v>
      </c>
      <c r="K18" s="8">
        <v>122.1</v>
      </c>
      <c r="L18" s="8">
        <v>116.7</v>
      </c>
      <c r="M18" s="8">
        <v>115.1</v>
      </c>
      <c r="N18" s="8">
        <v>115</v>
      </c>
      <c r="O18" s="28">
        <f>IF('Well Summary'!I18&gt;0,'Well Summary'!F18/('Well Summary'!I18/24),0)</f>
        <v>155.56959196428571</v>
      </c>
    </row>
    <row r="19" spans="1:15" ht="15" customHeight="1" x14ac:dyDescent="0.3">
      <c r="A19" s="6" t="s">
        <v>35</v>
      </c>
      <c r="B19" s="6" t="s">
        <v>36</v>
      </c>
      <c r="C19" s="8">
        <v>197.5</v>
      </c>
      <c r="D19" s="8">
        <v>198.6</v>
      </c>
      <c r="E19" s="8">
        <v>192.4</v>
      </c>
      <c r="F19" s="8">
        <v>179.7</v>
      </c>
      <c r="G19" s="8">
        <v>160.80000000000001</v>
      </c>
      <c r="H19" s="8">
        <v>149.4</v>
      </c>
      <c r="I19" s="8">
        <v>136.1</v>
      </c>
      <c r="J19" s="8">
        <v>126</v>
      </c>
      <c r="K19" s="8">
        <v>116.4</v>
      </c>
      <c r="L19" s="8">
        <v>108.1</v>
      </c>
      <c r="M19" s="8">
        <v>71.2</v>
      </c>
      <c r="N19" s="8">
        <v>67.7</v>
      </c>
      <c r="O19" s="28">
        <f>IF('Well Summary'!I19&gt;0,'Well Summary'!F19/('Well Summary'!I19/24),0)</f>
        <v>143.79281974588233</v>
      </c>
    </row>
    <row r="20" spans="1:15" ht="15" customHeight="1" x14ac:dyDescent="0.3">
      <c r="A20" s="6" t="s">
        <v>366</v>
      </c>
      <c r="B20" s="6" t="s">
        <v>367</v>
      </c>
      <c r="C20" s="8"/>
      <c r="D20" s="8"/>
      <c r="E20" s="8">
        <v>23.6</v>
      </c>
      <c r="F20" s="8">
        <v>263.7</v>
      </c>
      <c r="G20" s="8">
        <v>183.9</v>
      </c>
      <c r="H20" s="8">
        <v>135.80000000000001</v>
      </c>
      <c r="I20" s="8">
        <v>159</v>
      </c>
      <c r="J20" s="8">
        <v>263.8</v>
      </c>
      <c r="K20" s="8">
        <v>202.8</v>
      </c>
      <c r="L20" s="8">
        <v>144.9</v>
      </c>
      <c r="M20" s="8">
        <v>154.5</v>
      </c>
      <c r="N20" s="8">
        <v>164</v>
      </c>
      <c r="O20" s="28">
        <f>IF('Well Summary'!I20&gt;0,'Well Summary'!F20/('Well Summary'!I20/24),0)</f>
        <v>170.58339470365698</v>
      </c>
    </row>
    <row r="21" spans="1:15" ht="15" customHeight="1" x14ac:dyDescent="0.3">
      <c r="A21" s="6" t="s">
        <v>37</v>
      </c>
      <c r="B21" s="6" t="s">
        <v>38</v>
      </c>
      <c r="C21" s="8">
        <v>155.69999999999999</v>
      </c>
      <c r="D21" s="8">
        <v>152.69999999999999</v>
      </c>
      <c r="E21" s="8">
        <v>147.69999999999999</v>
      </c>
      <c r="F21" s="8">
        <v>131.4</v>
      </c>
      <c r="G21" s="8">
        <v>130.30000000000001</v>
      </c>
      <c r="H21" s="8">
        <v>132.19999999999999</v>
      </c>
      <c r="I21" s="8">
        <v>138.1</v>
      </c>
      <c r="J21" s="8">
        <v>134.69999999999999</v>
      </c>
      <c r="K21" s="8">
        <v>131.1</v>
      </c>
      <c r="L21" s="8">
        <v>133.4</v>
      </c>
      <c r="M21" s="8">
        <v>132.30000000000001</v>
      </c>
      <c r="N21" s="8">
        <v>126.3</v>
      </c>
      <c r="O21" s="28">
        <f>IF('Well Summary'!I21&gt;0,'Well Summary'!F21/('Well Summary'!I21/24),0)</f>
        <v>137.00195883548983</v>
      </c>
    </row>
    <row r="22" spans="1:15" ht="15" customHeight="1" x14ac:dyDescent="0.3">
      <c r="A22" s="6" t="s">
        <v>436</v>
      </c>
      <c r="B22" s="6" t="s">
        <v>437</v>
      </c>
      <c r="C22" s="8"/>
      <c r="D22" s="8"/>
      <c r="E22" s="8"/>
      <c r="F22" s="8"/>
      <c r="G22" s="8">
        <v>322.2</v>
      </c>
      <c r="H22" s="8">
        <v>219.7</v>
      </c>
      <c r="I22" s="8">
        <v>211.5</v>
      </c>
      <c r="J22" s="8">
        <v>230</v>
      </c>
      <c r="K22" s="8">
        <v>178.7</v>
      </c>
      <c r="L22" s="8">
        <v>156.6</v>
      </c>
      <c r="M22" s="8">
        <v>148.1</v>
      </c>
      <c r="N22" s="8">
        <v>137.30000000000001</v>
      </c>
      <c r="O22" s="28">
        <f>IF('Well Summary'!I22&gt;0,'Well Summary'!F22/('Well Summary'!I22/24),0)</f>
        <v>200.85327923627685</v>
      </c>
    </row>
    <row r="23" spans="1:15" ht="15" customHeight="1" x14ac:dyDescent="0.3">
      <c r="A23" s="6" t="s">
        <v>439</v>
      </c>
      <c r="B23" s="6" t="s">
        <v>437</v>
      </c>
      <c r="C23" s="8"/>
      <c r="D23" s="8"/>
      <c r="E23" s="8"/>
      <c r="F23" s="8"/>
      <c r="G23" s="8">
        <v>335</v>
      </c>
      <c r="H23" s="8">
        <v>274.89999999999998</v>
      </c>
      <c r="I23" s="8">
        <v>221.6</v>
      </c>
      <c r="J23" s="8">
        <v>186.9</v>
      </c>
      <c r="K23" s="8">
        <v>148.80000000000001</v>
      </c>
      <c r="L23" s="8">
        <v>152.4</v>
      </c>
      <c r="M23" s="8">
        <v>142.69999999999999</v>
      </c>
      <c r="N23" s="8">
        <v>125.4</v>
      </c>
      <c r="O23" s="28">
        <f>IF('Well Summary'!I23&gt;0,'Well Summary'!F23/('Well Summary'!I23/24),0)</f>
        <v>198.70880220858896</v>
      </c>
    </row>
    <row r="24" spans="1:15" ht="15" customHeight="1" x14ac:dyDescent="0.3">
      <c r="A24" s="6" t="s">
        <v>40</v>
      </c>
      <c r="B24" s="6" t="s">
        <v>16</v>
      </c>
      <c r="C24" s="8">
        <v>234.9</v>
      </c>
      <c r="D24" s="8">
        <v>227.7</v>
      </c>
      <c r="E24" s="8">
        <v>199.5</v>
      </c>
      <c r="F24" s="8">
        <v>156.5</v>
      </c>
      <c r="G24" s="8">
        <v>152</v>
      </c>
      <c r="H24" s="8">
        <v>131.1</v>
      </c>
      <c r="I24" s="8">
        <v>71.099999999999994</v>
      </c>
      <c r="J24" s="8">
        <v>86.2</v>
      </c>
      <c r="K24" s="8">
        <v>95.5</v>
      </c>
      <c r="L24" s="8">
        <v>93.7</v>
      </c>
      <c r="M24" s="8">
        <v>85.1</v>
      </c>
      <c r="N24" s="8">
        <v>64.400000000000006</v>
      </c>
      <c r="O24" s="28">
        <f>IF('Well Summary'!I24&gt;0,'Well Summary'!F24/('Well Summary'!I24/24),0)</f>
        <v>132.99353003108808</v>
      </c>
    </row>
    <row r="25" spans="1:15" ht="15" customHeight="1" x14ac:dyDescent="0.3">
      <c r="A25" s="6" t="s">
        <v>41</v>
      </c>
      <c r="B25" s="6" t="s">
        <v>16</v>
      </c>
      <c r="C25" s="8">
        <v>231</v>
      </c>
      <c r="D25" s="8">
        <v>206.9</v>
      </c>
      <c r="E25" s="8">
        <v>208.2</v>
      </c>
      <c r="F25" s="8">
        <v>168.8</v>
      </c>
      <c r="G25" s="8">
        <v>131.19999999999999</v>
      </c>
      <c r="H25" s="8">
        <v>91.8</v>
      </c>
      <c r="I25" s="8">
        <v>90.5</v>
      </c>
      <c r="J25" s="8">
        <v>88.1</v>
      </c>
      <c r="K25" s="8">
        <v>76.599999999999994</v>
      </c>
      <c r="L25" s="8">
        <v>77.099999999999994</v>
      </c>
      <c r="M25" s="8">
        <v>90.5</v>
      </c>
      <c r="N25" s="8">
        <v>65.7</v>
      </c>
      <c r="O25" s="28">
        <f>IF('Well Summary'!I25&gt;0,'Well Summary'!F25/('Well Summary'!I25/24),0)</f>
        <v>126.69821291796468</v>
      </c>
    </row>
    <row r="26" spans="1:15" ht="15" customHeight="1" x14ac:dyDescent="0.3">
      <c r="A26" s="6" t="s">
        <v>42</v>
      </c>
      <c r="B26" s="6" t="s">
        <v>20</v>
      </c>
      <c r="C26" s="8">
        <v>209.4</v>
      </c>
      <c r="D26" s="8">
        <v>175.4</v>
      </c>
      <c r="E26" s="8">
        <v>167.2</v>
      </c>
      <c r="F26" s="8">
        <v>146.30000000000001</v>
      </c>
      <c r="G26" s="8">
        <v>113.5</v>
      </c>
      <c r="H26" s="8">
        <v>110.2</v>
      </c>
      <c r="I26" s="8">
        <v>102.4</v>
      </c>
      <c r="J26" s="8">
        <v>102</v>
      </c>
      <c r="K26" s="8">
        <v>95</v>
      </c>
      <c r="L26" s="8">
        <v>90.4</v>
      </c>
      <c r="M26" s="8">
        <v>94.1</v>
      </c>
      <c r="N26" s="8">
        <v>90</v>
      </c>
      <c r="O26" s="28">
        <f>IF('Well Summary'!I26&gt;0,'Well Summary'!F26/('Well Summary'!I26/24),0)</f>
        <v>124.41362637362637</v>
      </c>
    </row>
    <row r="27" spans="1:15" ht="15" customHeight="1" x14ac:dyDescent="0.3">
      <c r="A27" s="6" t="s">
        <v>43</v>
      </c>
      <c r="B27" s="6" t="s">
        <v>44</v>
      </c>
      <c r="C27" s="8">
        <v>176.5</v>
      </c>
      <c r="D27" s="8">
        <v>169</v>
      </c>
      <c r="E27" s="8">
        <v>155.1</v>
      </c>
      <c r="F27" s="8">
        <v>152.9</v>
      </c>
      <c r="G27" s="8">
        <v>147.69999999999999</v>
      </c>
      <c r="H27" s="8">
        <v>142.5</v>
      </c>
      <c r="I27" s="8">
        <v>136.1</v>
      </c>
      <c r="J27" s="8">
        <v>100.2</v>
      </c>
      <c r="K27" s="8">
        <v>62</v>
      </c>
      <c r="L27" s="8">
        <v>64.599999999999994</v>
      </c>
      <c r="M27" s="8">
        <v>91.2</v>
      </c>
      <c r="N27" s="8">
        <v>83</v>
      </c>
      <c r="O27" s="28">
        <f>IF('Well Summary'!I27&gt;0,'Well Summary'!F27/('Well Summary'!I27/24),0)</f>
        <v>124.75809779243727</v>
      </c>
    </row>
    <row r="28" spans="1:15" ht="15" customHeight="1" x14ac:dyDescent="0.3">
      <c r="A28" s="6" t="s">
        <v>46</v>
      </c>
      <c r="B28" s="6" t="s">
        <v>47</v>
      </c>
      <c r="C28" s="8">
        <v>116.8</v>
      </c>
      <c r="D28" s="8">
        <v>152.5</v>
      </c>
      <c r="E28" s="8">
        <v>122.6</v>
      </c>
      <c r="F28" s="8">
        <v>96.8</v>
      </c>
      <c r="G28" s="8">
        <v>150.6</v>
      </c>
      <c r="H28" s="8">
        <v>129.4</v>
      </c>
      <c r="I28" s="8">
        <v>132.6</v>
      </c>
      <c r="J28" s="8">
        <v>114.4</v>
      </c>
      <c r="K28" s="8">
        <v>116</v>
      </c>
      <c r="L28" s="8">
        <v>118.1</v>
      </c>
      <c r="M28" s="8">
        <v>134</v>
      </c>
      <c r="N28" s="8">
        <v>128.4</v>
      </c>
      <c r="O28" s="28">
        <f>IF('Well Summary'!I28&gt;0,'Well Summary'!F28/('Well Summary'!I28/24),0)</f>
        <v>125.38322017383021</v>
      </c>
    </row>
    <row r="29" spans="1:15" ht="15" customHeight="1" x14ac:dyDescent="0.3">
      <c r="A29" s="6" t="s">
        <v>440</v>
      </c>
      <c r="B29" s="6" t="s">
        <v>437</v>
      </c>
      <c r="C29" s="8"/>
      <c r="D29" s="8"/>
      <c r="E29" s="8"/>
      <c r="F29" s="8"/>
      <c r="G29" s="8"/>
      <c r="H29" s="8"/>
      <c r="I29" s="8"/>
      <c r="J29" s="8">
        <v>322.8</v>
      </c>
      <c r="K29" s="8">
        <v>331.1</v>
      </c>
      <c r="L29" s="8">
        <v>273.3</v>
      </c>
      <c r="M29" s="8">
        <v>231.9</v>
      </c>
      <c r="N29" s="8">
        <v>202.4</v>
      </c>
      <c r="O29" s="28">
        <f>IF('Well Summary'!I29&gt;0,'Well Summary'!F29/('Well Summary'!I29/24),0)</f>
        <v>272.38715744401964</v>
      </c>
    </row>
    <row r="30" spans="1:15" ht="15" customHeight="1" x14ac:dyDescent="0.3">
      <c r="A30" s="6" t="s">
        <v>49</v>
      </c>
      <c r="B30" s="6" t="s">
        <v>33</v>
      </c>
      <c r="C30" s="8">
        <v>112.9</v>
      </c>
      <c r="D30" s="8">
        <v>142.4</v>
      </c>
      <c r="E30" s="8">
        <v>112.7</v>
      </c>
      <c r="F30" s="8">
        <v>107.2</v>
      </c>
      <c r="G30" s="8">
        <v>130.1</v>
      </c>
      <c r="H30" s="8">
        <v>152.19999999999999</v>
      </c>
      <c r="I30" s="8">
        <v>116.4</v>
      </c>
      <c r="J30" s="8">
        <v>118.6</v>
      </c>
      <c r="K30" s="8">
        <v>104.1</v>
      </c>
      <c r="L30" s="8">
        <v>100.9</v>
      </c>
      <c r="M30" s="8">
        <v>105</v>
      </c>
      <c r="N30" s="8">
        <v>98.6</v>
      </c>
      <c r="O30" s="28">
        <f>IF('Well Summary'!I30&gt;0,'Well Summary'!F30/('Well Summary'!I30/24),0)</f>
        <v>115.45487825115377</v>
      </c>
    </row>
    <row r="31" spans="1:15" ht="15" customHeight="1" x14ac:dyDescent="0.3">
      <c r="A31" s="6" t="s">
        <v>50</v>
      </c>
      <c r="B31" s="6" t="s">
        <v>51</v>
      </c>
      <c r="C31" s="8">
        <v>118.9</v>
      </c>
      <c r="D31" s="8">
        <v>135.80000000000001</v>
      </c>
      <c r="E31" s="8">
        <v>129.69999999999999</v>
      </c>
      <c r="F31" s="8">
        <v>88.1</v>
      </c>
      <c r="G31" s="8">
        <v>118.6</v>
      </c>
      <c r="H31" s="8">
        <v>110.2</v>
      </c>
      <c r="I31" s="8">
        <v>112.1</v>
      </c>
      <c r="J31" s="8">
        <v>106.9</v>
      </c>
      <c r="K31" s="8">
        <v>102.6</v>
      </c>
      <c r="L31" s="8">
        <v>87</v>
      </c>
      <c r="M31" s="8">
        <v>90.8</v>
      </c>
      <c r="N31" s="8">
        <v>87.4</v>
      </c>
      <c r="O31" s="28">
        <f>IF('Well Summary'!I31&gt;0,'Well Summary'!F31/('Well Summary'!I31/24),0)</f>
        <v>107.21163798994974</v>
      </c>
    </row>
    <row r="32" spans="1:15" ht="15" customHeight="1" x14ac:dyDescent="0.3">
      <c r="A32" s="6" t="s">
        <v>53</v>
      </c>
      <c r="B32" s="6" t="s">
        <v>33</v>
      </c>
      <c r="C32" s="8">
        <v>102.8</v>
      </c>
      <c r="D32" s="8">
        <v>99.2</v>
      </c>
      <c r="E32" s="8">
        <v>157.5</v>
      </c>
      <c r="F32" s="8">
        <v>154.80000000000001</v>
      </c>
      <c r="G32" s="8">
        <v>182.4</v>
      </c>
      <c r="H32" s="8">
        <v>140.30000000000001</v>
      </c>
      <c r="I32" s="8">
        <v>82.3</v>
      </c>
      <c r="J32" s="8">
        <v>102</v>
      </c>
      <c r="K32" s="8">
        <v>110</v>
      </c>
      <c r="L32" s="8">
        <v>107.9</v>
      </c>
      <c r="M32" s="8">
        <v>100.1</v>
      </c>
      <c r="N32" s="8">
        <v>97.6</v>
      </c>
      <c r="O32" s="28">
        <f>IF('Well Summary'!I32&gt;0,'Well Summary'!F32/('Well Summary'!I32/24),0)</f>
        <v>115.5834945436002</v>
      </c>
    </row>
    <row r="33" spans="1:15" ht="15" customHeight="1" x14ac:dyDescent="0.3">
      <c r="A33" s="6" t="s">
        <v>441</v>
      </c>
      <c r="B33" s="6" t="s">
        <v>437</v>
      </c>
      <c r="C33" s="8"/>
      <c r="D33" s="8"/>
      <c r="E33" s="8"/>
      <c r="F33" s="8"/>
      <c r="G33" s="8">
        <v>141.80000000000001</v>
      </c>
      <c r="H33" s="8">
        <v>276.39999999999998</v>
      </c>
      <c r="I33" s="8">
        <v>215.4</v>
      </c>
      <c r="J33" s="8">
        <v>190.1</v>
      </c>
      <c r="K33" s="8">
        <v>111.4</v>
      </c>
      <c r="L33" s="8">
        <v>116.1</v>
      </c>
      <c r="M33" s="8">
        <v>127.3</v>
      </c>
      <c r="N33" s="8">
        <v>115.5</v>
      </c>
      <c r="O33" s="28">
        <f>IF('Well Summary'!I33&gt;0,'Well Summary'!F33/('Well Summary'!I33/24),0)</f>
        <v>163.15667419354835</v>
      </c>
    </row>
    <row r="34" spans="1:15" ht="15" customHeight="1" x14ac:dyDescent="0.3">
      <c r="A34" s="6" t="s">
        <v>54</v>
      </c>
      <c r="B34" s="6" t="s">
        <v>55</v>
      </c>
      <c r="C34" s="8">
        <v>115.2</v>
      </c>
      <c r="D34" s="8">
        <v>140.1</v>
      </c>
      <c r="E34" s="8">
        <v>191.1</v>
      </c>
      <c r="F34" s="8">
        <v>179</v>
      </c>
      <c r="G34" s="8">
        <v>102</v>
      </c>
      <c r="H34" s="8">
        <v>78.2</v>
      </c>
      <c r="I34" s="8">
        <v>100.7</v>
      </c>
      <c r="J34" s="8">
        <v>120.2</v>
      </c>
      <c r="K34" s="8">
        <v>96</v>
      </c>
      <c r="L34" s="8">
        <v>62.3</v>
      </c>
      <c r="M34" s="8">
        <v>59.2</v>
      </c>
      <c r="N34" s="8">
        <v>62.9</v>
      </c>
      <c r="O34" s="28">
        <f>IF('Well Summary'!I34&gt;0,'Well Summary'!F34/('Well Summary'!I34/24),0)</f>
        <v>107.86569248351647</v>
      </c>
    </row>
    <row r="35" spans="1:15" ht="15" customHeight="1" x14ac:dyDescent="0.3">
      <c r="A35" s="6" t="s">
        <v>57</v>
      </c>
      <c r="B35" s="6" t="s">
        <v>36</v>
      </c>
      <c r="C35" s="8">
        <v>150.30000000000001</v>
      </c>
      <c r="D35" s="8">
        <v>137.9</v>
      </c>
      <c r="E35" s="8">
        <v>126</v>
      </c>
      <c r="F35" s="8">
        <v>117.6</v>
      </c>
      <c r="G35" s="8">
        <v>111.2</v>
      </c>
      <c r="H35" s="8">
        <v>111.8</v>
      </c>
      <c r="I35" s="8">
        <v>105</v>
      </c>
      <c r="J35" s="8">
        <v>98.9</v>
      </c>
      <c r="K35" s="8">
        <v>88</v>
      </c>
      <c r="L35" s="8">
        <v>81.7</v>
      </c>
      <c r="M35" s="8">
        <v>53.9</v>
      </c>
      <c r="N35" s="8">
        <v>29.5</v>
      </c>
      <c r="O35" s="28">
        <f>IF('Well Summary'!I35&gt;0,'Well Summary'!F35/('Well Summary'!I35/24),0)</f>
        <v>100.80807222387207</v>
      </c>
    </row>
    <row r="36" spans="1:15" ht="15" customHeight="1" x14ac:dyDescent="0.3">
      <c r="A36" s="6" t="s">
        <v>58</v>
      </c>
      <c r="B36" s="6" t="s">
        <v>59</v>
      </c>
      <c r="C36" s="8">
        <v>183.8</v>
      </c>
      <c r="D36" s="8">
        <v>158.5</v>
      </c>
      <c r="E36" s="8">
        <v>138</v>
      </c>
      <c r="F36" s="8">
        <v>119.3</v>
      </c>
      <c r="G36" s="8">
        <v>106.3</v>
      </c>
      <c r="H36" s="8">
        <v>94.7</v>
      </c>
      <c r="I36" s="8">
        <v>84.4</v>
      </c>
      <c r="J36" s="8">
        <v>81.099999999999994</v>
      </c>
      <c r="K36" s="8">
        <v>70.400000000000006</v>
      </c>
      <c r="L36" s="8">
        <v>67</v>
      </c>
      <c r="M36" s="8">
        <v>39.1</v>
      </c>
      <c r="N36" s="8">
        <v>43</v>
      </c>
      <c r="O36" s="28">
        <f>IF('Well Summary'!I36&gt;0,'Well Summary'!F36/('Well Summary'!I36/24),0)</f>
        <v>98.502498613589552</v>
      </c>
    </row>
    <row r="37" spans="1:15" ht="15" customHeight="1" x14ac:dyDescent="0.3">
      <c r="A37" s="6" t="s">
        <v>61</v>
      </c>
      <c r="B37" s="6" t="s">
        <v>62</v>
      </c>
      <c r="C37" s="8">
        <v>120.8</v>
      </c>
      <c r="D37" s="8">
        <v>125.9</v>
      </c>
      <c r="E37" s="8">
        <v>118.4</v>
      </c>
      <c r="F37" s="8">
        <v>119.4</v>
      </c>
      <c r="G37" s="8">
        <v>112.3</v>
      </c>
      <c r="H37" s="8">
        <v>107.3</v>
      </c>
      <c r="I37" s="8">
        <v>103.4</v>
      </c>
      <c r="J37" s="8">
        <v>96</v>
      </c>
      <c r="K37" s="8">
        <v>92.4</v>
      </c>
      <c r="L37" s="8">
        <v>79.2</v>
      </c>
      <c r="M37" s="8">
        <v>66.5</v>
      </c>
      <c r="N37" s="8">
        <v>69.2</v>
      </c>
      <c r="O37" s="28">
        <f>IF('Well Summary'!I37&gt;0,'Well Summary'!F37/('Well Summary'!I37/24),0)</f>
        <v>101.57989191632603</v>
      </c>
    </row>
    <row r="38" spans="1:15" ht="15" customHeight="1" x14ac:dyDescent="0.3">
      <c r="A38" s="6" t="s">
        <v>64</v>
      </c>
      <c r="B38" s="6" t="s">
        <v>65</v>
      </c>
      <c r="C38" s="8">
        <v>98.5</v>
      </c>
      <c r="D38" s="8">
        <v>107.2</v>
      </c>
      <c r="E38" s="8">
        <v>98.3</v>
      </c>
      <c r="F38" s="8">
        <v>98.5</v>
      </c>
      <c r="G38" s="8">
        <v>101.8</v>
      </c>
      <c r="H38" s="8">
        <v>110.3</v>
      </c>
      <c r="I38" s="8">
        <v>106.8</v>
      </c>
      <c r="J38" s="8">
        <v>102.3</v>
      </c>
      <c r="K38" s="8">
        <v>81.5</v>
      </c>
      <c r="L38" s="8">
        <v>91.9</v>
      </c>
      <c r="M38" s="8">
        <v>83.4</v>
      </c>
      <c r="N38" s="8">
        <v>77.2</v>
      </c>
      <c r="O38" s="28">
        <f>IF('Well Summary'!I38&gt;0,'Well Summary'!F38/('Well Summary'!I38/24),0)</f>
        <v>96.401552802197784</v>
      </c>
    </row>
    <row r="39" spans="1:15" ht="15" customHeight="1" x14ac:dyDescent="0.3">
      <c r="A39" s="6" t="s">
        <v>66</v>
      </c>
      <c r="B39" s="6" t="s">
        <v>62</v>
      </c>
      <c r="C39" s="8">
        <v>136.80000000000001</v>
      </c>
      <c r="D39" s="8">
        <v>119.6</v>
      </c>
      <c r="E39" s="8">
        <v>110.7</v>
      </c>
      <c r="F39" s="8">
        <v>119.9</v>
      </c>
      <c r="G39" s="8">
        <v>110.8</v>
      </c>
      <c r="H39" s="8">
        <v>106.7</v>
      </c>
      <c r="I39" s="8">
        <v>93.5</v>
      </c>
      <c r="J39" s="8">
        <v>95.7</v>
      </c>
      <c r="K39" s="8">
        <v>90.1</v>
      </c>
      <c r="L39" s="8">
        <v>78.5</v>
      </c>
      <c r="M39" s="8">
        <v>64.8</v>
      </c>
      <c r="N39" s="8">
        <v>73.900000000000006</v>
      </c>
      <c r="O39" s="28">
        <f>IF('Well Summary'!I39&gt;0,'Well Summary'!F39/('Well Summary'!I39/24),0)</f>
        <v>101.3975772770642</v>
      </c>
    </row>
    <row r="40" spans="1:15" ht="15" customHeight="1" x14ac:dyDescent="0.3">
      <c r="A40" s="6" t="s">
        <v>369</v>
      </c>
      <c r="B40" s="6" t="s">
        <v>362</v>
      </c>
      <c r="C40" s="8"/>
      <c r="D40" s="8"/>
      <c r="E40" s="8">
        <v>137.19999999999999</v>
      </c>
      <c r="F40" s="8">
        <v>214.1</v>
      </c>
      <c r="G40" s="8">
        <v>117.9</v>
      </c>
      <c r="H40" s="8">
        <v>119.5</v>
      </c>
      <c r="I40" s="8">
        <v>119.8</v>
      </c>
      <c r="J40" s="8">
        <v>115</v>
      </c>
      <c r="K40" s="8">
        <v>102</v>
      </c>
      <c r="L40" s="8">
        <v>93.1</v>
      </c>
      <c r="M40" s="8">
        <v>86.6</v>
      </c>
      <c r="N40" s="8">
        <v>85.5</v>
      </c>
      <c r="O40" s="28">
        <f>IF('Well Summary'!I40&gt;0,'Well Summary'!F40/('Well Summary'!I40/24),0)</f>
        <v>118.04205238149628</v>
      </c>
    </row>
    <row r="41" spans="1:15" ht="15" customHeight="1" x14ac:dyDescent="0.3">
      <c r="A41" s="6" t="s">
        <v>442</v>
      </c>
      <c r="B41" s="6" t="s">
        <v>26</v>
      </c>
      <c r="C41" s="8"/>
      <c r="D41" s="8"/>
      <c r="E41" s="8"/>
      <c r="F41" s="8">
        <v>91.5</v>
      </c>
      <c r="G41" s="8">
        <v>242.5</v>
      </c>
      <c r="H41" s="8">
        <v>145.1</v>
      </c>
      <c r="I41" s="8">
        <v>147.6</v>
      </c>
      <c r="J41" s="8">
        <v>244.9</v>
      </c>
      <c r="K41" s="8">
        <v>94.2</v>
      </c>
      <c r="L41" s="8">
        <v>77.099999999999994</v>
      </c>
      <c r="M41" s="8">
        <v>64</v>
      </c>
      <c r="N41" s="8">
        <v>78.2</v>
      </c>
      <c r="O41" s="28">
        <f>IF('Well Summary'!I41&gt;0,'Well Summary'!F41/('Well Summary'!I41/24),0)</f>
        <v>133.31165570667096</v>
      </c>
    </row>
    <row r="42" spans="1:15" ht="15" customHeight="1" x14ac:dyDescent="0.3">
      <c r="A42" s="6" t="s">
        <v>443</v>
      </c>
      <c r="B42" s="6" t="s">
        <v>392</v>
      </c>
      <c r="C42" s="8"/>
      <c r="D42" s="8"/>
      <c r="E42" s="8"/>
      <c r="F42" s="8"/>
      <c r="G42" s="8"/>
      <c r="H42" s="8"/>
      <c r="I42" s="8"/>
      <c r="J42" s="8">
        <v>291.5</v>
      </c>
      <c r="K42" s="8">
        <v>264.89999999999998</v>
      </c>
      <c r="L42" s="8">
        <v>206.1</v>
      </c>
      <c r="M42" s="8">
        <v>197.1</v>
      </c>
      <c r="N42" s="8">
        <v>166.2</v>
      </c>
      <c r="O42" s="28">
        <f>IF('Well Summary'!I42&gt;0,'Well Summary'!F42/('Well Summary'!I42/24),0)</f>
        <v>224.18222551076752</v>
      </c>
    </row>
    <row r="43" spans="1:15" ht="15" customHeight="1" x14ac:dyDescent="0.3">
      <c r="A43" s="6" t="s">
        <v>444</v>
      </c>
      <c r="B43" s="6" t="s">
        <v>386</v>
      </c>
      <c r="C43" s="8"/>
      <c r="D43" s="8"/>
      <c r="E43" s="8"/>
      <c r="F43" s="8"/>
      <c r="G43" s="8"/>
      <c r="H43" s="8"/>
      <c r="I43" s="8"/>
      <c r="J43" s="8">
        <v>274.39999999999998</v>
      </c>
      <c r="K43" s="8">
        <v>230.5</v>
      </c>
      <c r="L43" s="8">
        <v>233.7</v>
      </c>
      <c r="M43" s="8">
        <v>156.6</v>
      </c>
      <c r="N43" s="8">
        <v>204.4</v>
      </c>
      <c r="O43" s="28">
        <f>IF('Well Summary'!I43&gt;0,'Well Summary'!F43/('Well Summary'!I43/24),0)</f>
        <v>222.30848067739203</v>
      </c>
    </row>
    <row r="44" spans="1:15" ht="15" customHeight="1" x14ac:dyDescent="0.3">
      <c r="A44" s="6" t="s">
        <v>67</v>
      </c>
      <c r="B44" s="6" t="s">
        <v>68</v>
      </c>
      <c r="C44" s="8">
        <v>91.4</v>
      </c>
      <c r="D44" s="8">
        <v>105.3</v>
      </c>
      <c r="E44" s="8">
        <v>93</v>
      </c>
      <c r="F44" s="8">
        <v>92.6</v>
      </c>
      <c r="G44" s="8">
        <v>87.2</v>
      </c>
      <c r="H44" s="8">
        <v>89.8</v>
      </c>
      <c r="I44" s="8">
        <v>94.1</v>
      </c>
      <c r="J44" s="8">
        <v>90.4</v>
      </c>
      <c r="K44" s="8">
        <v>92.2</v>
      </c>
      <c r="L44" s="8">
        <v>89.3</v>
      </c>
      <c r="M44" s="8">
        <v>79.099999999999994</v>
      </c>
      <c r="N44" s="8">
        <v>75</v>
      </c>
      <c r="O44" s="28">
        <f>IF('Well Summary'!I44&gt;0,'Well Summary'!F44/('Well Summary'!I44/24),0)</f>
        <v>89.828303752151456</v>
      </c>
    </row>
    <row r="45" spans="1:15" ht="15" customHeight="1" x14ac:dyDescent="0.3">
      <c r="A45" s="6" t="s">
        <v>70</v>
      </c>
      <c r="B45" s="6" t="s">
        <v>71</v>
      </c>
      <c r="C45" s="8">
        <v>154.19999999999999</v>
      </c>
      <c r="D45" s="8">
        <v>131.19999999999999</v>
      </c>
      <c r="E45" s="8">
        <v>136.4</v>
      </c>
      <c r="F45" s="8">
        <v>78</v>
      </c>
      <c r="G45" s="8">
        <v>90.8</v>
      </c>
      <c r="H45" s="8">
        <v>84.8</v>
      </c>
      <c r="I45" s="8">
        <v>88</v>
      </c>
      <c r="J45" s="8">
        <v>88.6</v>
      </c>
      <c r="K45" s="8">
        <v>71.599999999999994</v>
      </c>
      <c r="L45" s="8">
        <v>62.9</v>
      </c>
      <c r="M45" s="8">
        <v>65</v>
      </c>
      <c r="N45" s="8">
        <v>61.5</v>
      </c>
      <c r="O45" s="28">
        <f>IF('Well Summary'!I45&gt;0,'Well Summary'!F45/('Well Summary'!I45/24),0)</f>
        <v>91.336396527451896</v>
      </c>
    </row>
    <row r="46" spans="1:15" ht="15" customHeight="1" x14ac:dyDescent="0.3">
      <c r="A46" s="6" t="s">
        <v>73</v>
      </c>
      <c r="B46" s="6" t="s">
        <v>38</v>
      </c>
      <c r="C46" s="8">
        <v>112.9</v>
      </c>
      <c r="D46" s="8">
        <v>109</v>
      </c>
      <c r="E46" s="8">
        <v>98.3</v>
      </c>
      <c r="F46" s="8">
        <v>75.2</v>
      </c>
      <c r="G46" s="8">
        <v>66.7</v>
      </c>
      <c r="H46" s="8">
        <v>101.4</v>
      </c>
      <c r="I46" s="8">
        <v>101.8</v>
      </c>
      <c r="J46" s="8">
        <v>86.4</v>
      </c>
      <c r="K46" s="8">
        <v>82.7</v>
      </c>
      <c r="L46" s="8">
        <v>78.599999999999994</v>
      </c>
      <c r="M46" s="8">
        <v>80</v>
      </c>
      <c r="N46" s="8">
        <v>75.599999999999994</v>
      </c>
      <c r="O46" s="28">
        <f>IF('Well Summary'!I46&gt;0,'Well Summary'!F46/('Well Summary'!I46/24),0)</f>
        <v>88.881992487100092</v>
      </c>
    </row>
    <row r="47" spans="1:15" ht="15" customHeight="1" x14ac:dyDescent="0.3">
      <c r="A47" s="6" t="s">
        <v>74</v>
      </c>
      <c r="B47" s="6" t="s">
        <v>16</v>
      </c>
      <c r="C47" s="8">
        <v>54.8</v>
      </c>
      <c r="D47" s="8">
        <v>37.4</v>
      </c>
      <c r="E47" s="8">
        <v>45.8</v>
      </c>
      <c r="F47" s="8">
        <v>86.1</v>
      </c>
      <c r="G47" s="8">
        <v>125.7</v>
      </c>
      <c r="H47" s="8">
        <v>102.2</v>
      </c>
      <c r="I47" s="8">
        <v>106.1</v>
      </c>
      <c r="J47" s="8">
        <v>122.7</v>
      </c>
      <c r="K47" s="8">
        <v>110.1</v>
      </c>
      <c r="L47" s="8">
        <v>96.8</v>
      </c>
      <c r="M47" s="8">
        <v>95.2</v>
      </c>
      <c r="N47" s="8">
        <v>88.7</v>
      </c>
      <c r="O47" s="28">
        <f>IF('Well Summary'!I47&gt;0,'Well Summary'!F47/('Well Summary'!I47/24),0)</f>
        <v>89.558941661068005</v>
      </c>
    </row>
    <row r="48" spans="1:15" ht="15" customHeight="1" x14ac:dyDescent="0.3">
      <c r="A48" s="6" t="s">
        <v>75</v>
      </c>
      <c r="B48" s="6" t="s">
        <v>29</v>
      </c>
      <c r="C48" s="8">
        <v>137.5</v>
      </c>
      <c r="D48" s="8">
        <v>121.5</v>
      </c>
      <c r="E48" s="8">
        <v>101.1</v>
      </c>
      <c r="F48" s="8">
        <v>94.7</v>
      </c>
      <c r="G48" s="8">
        <v>93.5</v>
      </c>
      <c r="H48" s="8">
        <v>89.2</v>
      </c>
      <c r="I48" s="8">
        <v>80.900000000000006</v>
      </c>
      <c r="J48" s="8">
        <v>80.099999999999994</v>
      </c>
      <c r="K48" s="8">
        <v>68.599999999999994</v>
      </c>
      <c r="L48" s="8">
        <v>64</v>
      </c>
      <c r="M48" s="8">
        <v>62.3</v>
      </c>
      <c r="N48" s="8">
        <v>59.6</v>
      </c>
      <c r="O48" s="28">
        <f>IF('Well Summary'!I48&gt;0,'Well Summary'!F48/('Well Summary'!I48/24),0)</f>
        <v>87.606140937571439</v>
      </c>
    </row>
    <row r="49" spans="1:15" ht="15" customHeight="1" x14ac:dyDescent="0.3">
      <c r="A49" s="6" t="s">
        <v>76</v>
      </c>
      <c r="B49" s="6" t="s">
        <v>77</v>
      </c>
      <c r="C49" s="8">
        <v>103.7</v>
      </c>
      <c r="D49" s="8">
        <v>114.6</v>
      </c>
      <c r="E49" s="8">
        <v>111.7</v>
      </c>
      <c r="F49" s="8">
        <v>106.8</v>
      </c>
      <c r="G49" s="8">
        <v>90.7</v>
      </c>
      <c r="H49" s="8">
        <v>70.2</v>
      </c>
      <c r="I49" s="8">
        <v>62.9</v>
      </c>
      <c r="J49" s="8">
        <v>91</v>
      </c>
      <c r="K49" s="8">
        <v>84</v>
      </c>
      <c r="L49" s="8">
        <v>65.3</v>
      </c>
      <c r="M49" s="8">
        <v>92.5</v>
      </c>
      <c r="N49" s="8">
        <v>69.7</v>
      </c>
      <c r="O49" s="28">
        <f>IF('Well Summary'!I49&gt;0,'Well Summary'!F49/('Well Summary'!I49/24),0)</f>
        <v>88.235334046886095</v>
      </c>
    </row>
    <row r="50" spans="1:15" ht="15" customHeight="1" x14ac:dyDescent="0.3">
      <c r="A50" s="6" t="s">
        <v>445</v>
      </c>
      <c r="B50" s="6" t="s">
        <v>392</v>
      </c>
      <c r="C50" s="8"/>
      <c r="D50" s="8"/>
      <c r="E50" s="8"/>
      <c r="F50" s="8"/>
      <c r="G50" s="8"/>
      <c r="H50" s="8"/>
      <c r="I50" s="8"/>
      <c r="J50" s="8">
        <v>253.2</v>
      </c>
      <c r="K50" s="8">
        <v>300.39999999999998</v>
      </c>
      <c r="L50" s="8">
        <v>261</v>
      </c>
      <c r="M50" s="8">
        <v>157.69999999999999</v>
      </c>
      <c r="N50" s="8">
        <v>116.4</v>
      </c>
      <c r="O50" s="28">
        <f>IF('Well Summary'!I50&gt;0,'Well Summary'!F50/('Well Summary'!I50/24),0)</f>
        <v>227.74384822018348</v>
      </c>
    </row>
    <row r="51" spans="1:15" ht="15" customHeight="1" x14ac:dyDescent="0.3">
      <c r="A51" s="6" t="s">
        <v>79</v>
      </c>
      <c r="B51" s="6" t="s">
        <v>80</v>
      </c>
      <c r="C51" s="8">
        <v>90.3</v>
      </c>
      <c r="D51" s="8">
        <v>93.4</v>
      </c>
      <c r="E51" s="8">
        <v>91.6</v>
      </c>
      <c r="F51" s="8">
        <v>94.8</v>
      </c>
      <c r="G51" s="8">
        <v>96.5</v>
      </c>
      <c r="H51" s="8">
        <v>91.5</v>
      </c>
      <c r="I51" s="8">
        <v>93.2</v>
      </c>
      <c r="J51" s="8">
        <v>85.3</v>
      </c>
      <c r="K51" s="8">
        <v>90.8</v>
      </c>
      <c r="L51" s="8">
        <v>89.6</v>
      </c>
      <c r="M51" s="8">
        <v>50.3</v>
      </c>
      <c r="N51" s="8">
        <v>51.8</v>
      </c>
      <c r="O51" s="28">
        <f>IF('Well Summary'!I51&gt;0,'Well Summary'!F51/('Well Summary'!I51/24),0)</f>
        <v>84.835330713547052</v>
      </c>
    </row>
    <row r="52" spans="1:15" ht="15" customHeight="1" x14ac:dyDescent="0.3">
      <c r="A52" s="6" t="s">
        <v>82</v>
      </c>
      <c r="B52" s="6" t="s">
        <v>33</v>
      </c>
      <c r="C52" s="8">
        <v>160.19999999999999</v>
      </c>
      <c r="D52" s="8">
        <v>121.5</v>
      </c>
      <c r="E52" s="8">
        <v>130.1</v>
      </c>
      <c r="F52" s="8">
        <v>125.3</v>
      </c>
      <c r="G52" s="8">
        <v>167.1</v>
      </c>
      <c r="H52" s="8">
        <v>129.1</v>
      </c>
      <c r="I52" s="8">
        <v>67.8</v>
      </c>
      <c r="J52" s="8">
        <v>99.3</v>
      </c>
      <c r="K52" s="8">
        <v>81.8</v>
      </c>
      <c r="L52" s="8">
        <v>84.6</v>
      </c>
      <c r="M52" s="8">
        <v>71.400000000000006</v>
      </c>
      <c r="N52" s="8">
        <v>70.400000000000006</v>
      </c>
      <c r="O52" s="28">
        <f>IF('Well Summary'!I52&gt;0,'Well Summary'!F52/('Well Summary'!I52/24),0)</f>
        <v>102.67193730365392</v>
      </c>
    </row>
    <row r="53" spans="1:15" ht="15" customHeight="1" x14ac:dyDescent="0.3">
      <c r="A53" s="6" t="s">
        <v>83</v>
      </c>
      <c r="B53" s="6" t="s">
        <v>44</v>
      </c>
      <c r="C53" s="8">
        <v>110.6</v>
      </c>
      <c r="D53" s="8">
        <v>109.5</v>
      </c>
      <c r="E53" s="8">
        <v>103.9</v>
      </c>
      <c r="F53" s="8">
        <v>95.8</v>
      </c>
      <c r="G53" s="8">
        <v>82.2</v>
      </c>
      <c r="H53" s="8">
        <v>79.8</v>
      </c>
      <c r="I53" s="8">
        <v>76.2</v>
      </c>
      <c r="J53" s="8">
        <v>75</v>
      </c>
      <c r="K53" s="8">
        <v>69.099999999999994</v>
      </c>
      <c r="L53" s="8">
        <v>72.8</v>
      </c>
      <c r="M53" s="8">
        <v>72.7</v>
      </c>
      <c r="N53" s="8">
        <v>58</v>
      </c>
      <c r="O53" s="28">
        <f>IF('Well Summary'!I53&gt;0,'Well Summary'!F53/('Well Summary'!I53/24),0)</f>
        <v>83.620554788571425</v>
      </c>
    </row>
    <row r="54" spans="1:15" ht="15" customHeight="1" x14ac:dyDescent="0.3">
      <c r="A54" s="6" t="s">
        <v>446</v>
      </c>
      <c r="B54" s="6" t="s">
        <v>392</v>
      </c>
      <c r="C54" s="8"/>
      <c r="D54" s="8"/>
      <c r="E54" s="8"/>
      <c r="F54" s="8"/>
      <c r="G54" s="8"/>
      <c r="H54" s="8"/>
      <c r="I54" s="8"/>
      <c r="J54" s="8">
        <v>175.8</v>
      </c>
      <c r="K54" s="8">
        <v>326.39999999999998</v>
      </c>
      <c r="L54" s="8">
        <v>283.10000000000002</v>
      </c>
      <c r="M54" s="8">
        <v>210</v>
      </c>
      <c r="N54" s="8">
        <v>193.5</v>
      </c>
      <c r="O54" s="28">
        <f>IF('Well Summary'!I54&gt;0,'Well Summary'!F54/('Well Summary'!I54/24),0)</f>
        <v>242.30296514495168</v>
      </c>
    </row>
    <row r="55" spans="1:15" ht="15" customHeight="1" x14ac:dyDescent="0.3">
      <c r="A55" s="6" t="s">
        <v>84</v>
      </c>
      <c r="B55" s="6" t="s">
        <v>85</v>
      </c>
      <c r="C55" s="8">
        <v>99.8</v>
      </c>
      <c r="D55" s="8">
        <v>99.3</v>
      </c>
      <c r="E55" s="8">
        <v>63.8</v>
      </c>
      <c r="F55" s="8">
        <v>89.3</v>
      </c>
      <c r="G55" s="8">
        <v>93.8</v>
      </c>
      <c r="H55" s="8">
        <v>78.5</v>
      </c>
      <c r="I55" s="8">
        <v>75.8</v>
      </c>
      <c r="J55" s="8">
        <v>88.8</v>
      </c>
      <c r="K55" s="8">
        <v>84.5</v>
      </c>
      <c r="L55" s="8">
        <v>83.3</v>
      </c>
      <c r="M55" s="8">
        <v>69.400000000000006</v>
      </c>
      <c r="N55" s="8">
        <v>73.2</v>
      </c>
      <c r="O55" s="28">
        <f>IF('Well Summary'!I55&gt;0,'Well Summary'!F55/('Well Summary'!I55/24),0)</f>
        <v>83.32250189533238</v>
      </c>
    </row>
    <row r="56" spans="1:15" ht="15" customHeight="1" x14ac:dyDescent="0.3">
      <c r="A56" s="6" t="s">
        <v>87</v>
      </c>
      <c r="B56" s="6" t="s">
        <v>36</v>
      </c>
      <c r="C56" s="8">
        <v>105.9</v>
      </c>
      <c r="D56" s="8">
        <v>101.9</v>
      </c>
      <c r="E56" s="8">
        <v>84.7</v>
      </c>
      <c r="F56" s="8">
        <v>104.7</v>
      </c>
      <c r="G56" s="8">
        <v>90.6</v>
      </c>
      <c r="H56" s="8">
        <v>78.3</v>
      </c>
      <c r="I56" s="8">
        <v>74</v>
      </c>
      <c r="J56" s="8">
        <v>69.8</v>
      </c>
      <c r="K56" s="8">
        <v>66.599999999999994</v>
      </c>
      <c r="L56" s="8">
        <v>63.2</v>
      </c>
      <c r="M56" s="8">
        <v>64.099999999999994</v>
      </c>
      <c r="N56" s="8">
        <v>64.5</v>
      </c>
      <c r="O56" s="28">
        <f>IF('Well Summary'!I56&gt;0,'Well Summary'!F56/('Well Summary'!I56/24),0)</f>
        <v>80.533639848849191</v>
      </c>
    </row>
    <row r="57" spans="1:15" ht="15" customHeight="1" x14ac:dyDescent="0.3">
      <c r="A57" s="6" t="s">
        <v>88</v>
      </c>
      <c r="B57" s="6" t="s">
        <v>89</v>
      </c>
      <c r="C57" s="8">
        <v>92.1</v>
      </c>
      <c r="D57" s="8">
        <v>77.7</v>
      </c>
      <c r="E57" s="8">
        <v>82.1</v>
      </c>
      <c r="F57" s="8">
        <v>76</v>
      </c>
      <c r="G57" s="8">
        <v>61.6</v>
      </c>
      <c r="H57" s="8">
        <v>43.8</v>
      </c>
      <c r="I57" s="8">
        <v>90</v>
      </c>
      <c r="J57" s="8">
        <v>100.8</v>
      </c>
      <c r="K57" s="8">
        <v>102.6</v>
      </c>
      <c r="L57" s="8">
        <v>104.1</v>
      </c>
      <c r="M57" s="8">
        <v>76.3</v>
      </c>
      <c r="N57" s="8">
        <v>66.099999999999994</v>
      </c>
      <c r="O57" s="28">
        <f>IF('Well Summary'!I57&gt;0,'Well Summary'!F57/('Well Summary'!I57/24),0)</f>
        <v>81.945091262862491</v>
      </c>
    </row>
    <row r="58" spans="1:15" ht="15" customHeight="1" x14ac:dyDescent="0.3">
      <c r="A58" s="6" t="s">
        <v>91</v>
      </c>
      <c r="B58" s="6" t="s">
        <v>85</v>
      </c>
      <c r="C58" s="8">
        <v>72.400000000000006</v>
      </c>
      <c r="D58" s="8">
        <v>74.2</v>
      </c>
      <c r="E58" s="8">
        <v>91.9</v>
      </c>
      <c r="F58" s="8">
        <v>100.5</v>
      </c>
      <c r="G58" s="8">
        <v>105.5</v>
      </c>
      <c r="H58" s="8">
        <v>91.6</v>
      </c>
      <c r="I58" s="8">
        <v>63.2</v>
      </c>
      <c r="J58" s="8">
        <v>68.3</v>
      </c>
      <c r="K58" s="8">
        <v>73.2</v>
      </c>
      <c r="L58" s="8">
        <v>76.400000000000006</v>
      </c>
      <c r="M58" s="8">
        <v>75.900000000000006</v>
      </c>
      <c r="N58" s="8">
        <v>67.7</v>
      </c>
      <c r="O58" s="28">
        <f>IF('Well Summary'!I58&gt;0,'Well Summary'!F58/('Well Summary'!I58/24),0)</f>
        <v>80.165332374839537</v>
      </c>
    </row>
    <row r="59" spans="1:15" ht="15" customHeight="1" x14ac:dyDescent="0.3">
      <c r="A59" s="6" t="s">
        <v>92</v>
      </c>
      <c r="B59" s="6" t="s">
        <v>51</v>
      </c>
      <c r="C59" s="8">
        <v>104.8</v>
      </c>
      <c r="D59" s="8">
        <v>98.3</v>
      </c>
      <c r="E59" s="8">
        <v>96.8</v>
      </c>
      <c r="F59" s="8">
        <v>89.1</v>
      </c>
      <c r="G59" s="8">
        <v>86.1</v>
      </c>
      <c r="H59" s="8">
        <v>76.2</v>
      </c>
      <c r="I59" s="8">
        <v>77.400000000000006</v>
      </c>
      <c r="J59" s="8">
        <v>69</v>
      </c>
      <c r="K59" s="8">
        <v>65</v>
      </c>
      <c r="L59" s="8">
        <v>60.4</v>
      </c>
      <c r="M59" s="8">
        <v>61.3</v>
      </c>
      <c r="N59" s="8">
        <v>58.6</v>
      </c>
      <c r="O59" s="28">
        <f>IF('Well Summary'!I59&gt;0,'Well Summary'!F59/('Well Summary'!I59/24),0)</f>
        <v>78.517802103333722</v>
      </c>
    </row>
    <row r="60" spans="1:15" ht="15" customHeight="1" x14ac:dyDescent="0.3">
      <c r="A60" s="6" t="s">
        <v>93</v>
      </c>
      <c r="B60" s="6" t="s">
        <v>85</v>
      </c>
      <c r="C60" s="8">
        <v>96.3</v>
      </c>
      <c r="D60" s="8">
        <v>84.6</v>
      </c>
      <c r="E60" s="8">
        <v>58.7</v>
      </c>
      <c r="F60" s="8">
        <v>91.6</v>
      </c>
      <c r="G60" s="8">
        <v>91.2</v>
      </c>
      <c r="H60" s="8">
        <v>86</v>
      </c>
      <c r="I60" s="8">
        <v>74.3</v>
      </c>
      <c r="J60" s="8">
        <v>75.400000000000006</v>
      </c>
      <c r="K60" s="8">
        <v>68.2</v>
      </c>
      <c r="L60" s="8">
        <v>65.900000000000006</v>
      </c>
      <c r="M60" s="8">
        <v>59.1</v>
      </c>
      <c r="N60" s="8">
        <v>61.5</v>
      </c>
      <c r="O60" s="28">
        <f>IF('Well Summary'!I60&gt;0,'Well Summary'!F60/('Well Summary'!I60/24),0)</f>
        <v>76.04734336015143</v>
      </c>
    </row>
    <row r="61" spans="1:15" ht="15" customHeight="1" x14ac:dyDescent="0.3">
      <c r="A61" s="6" t="s">
        <v>447</v>
      </c>
      <c r="B61" s="6" t="s">
        <v>392</v>
      </c>
      <c r="C61" s="8"/>
      <c r="D61" s="8"/>
      <c r="E61" s="8"/>
      <c r="F61" s="8"/>
      <c r="G61" s="8"/>
      <c r="H61" s="8"/>
      <c r="I61" s="8"/>
      <c r="J61" s="8">
        <v>155.30000000000001</v>
      </c>
      <c r="K61" s="8">
        <v>252.3</v>
      </c>
      <c r="L61" s="8">
        <v>204</v>
      </c>
      <c r="M61" s="8">
        <v>200.4</v>
      </c>
      <c r="N61" s="8">
        <v>171</v>
      </c>
      <c r="O61" s="28">
        <f>IF('Well Summary'!I61&gt;0,'Well Summary'!F61/('Well Summary'!I61/24),0)</f>
        <v>202.71399400947865</v>
      </c>
    </row>
    <row r="62" spans="1:15" ht="15" customHeight="1" x14ac:dyDescent="0.3">
      <c r="A62" s="6" t="s">
        <v>448</v>
      </c>
      <c r="B62" s="6" t="s">
        <v>437</v>
      </c>
      <c r="C62" s="8"/>
      <c r="D62" s="8"/>
      <c r="E62" s="8"/>
      <c r="F62" s="8"/>
      <c r="G62" s="8"/>
      <c r="H62" s="8"/>
      <c r="I62" s="8"/>
      <c r="J62" s="8">
        <v>277.8</v>
      </c>
      <c r="K62" s="8">
        <v>245.6</v>
      </c>
      <c r="L62" s="8">
        <v>148.4</v>
      </c>
      <c r="M62" s="8">
        <v>159.69999999999999</v>
      </c>
      <c r="N62" s="8">
        <v>146.1</v>
      </c>
      <c r="O62" s="28">
        <f>IF('Well Summary'!I62&gt;0,'Well Summary'!F62/('Well Summary'!I62/24),0)</f>
        <v>201.80276705289671</v>
      </c>
    </row>
    <row r="63" spans="1:15" ht="15" customHeight="1" x14ac:dyDescent="0.3">
      <c r="A63" s="6" t="s">
        <v>449</v>
      </c>
      <c r="B63" s="6" t="s">
        <v>26</v>
      </c>
      <c r="C63" s="8"/>
      <c r="D63" s="8"/>
      <c r="E63" s="8"/>
      <c r="F63" s="8">
        <v>155.6</v>
      </c>
      <c r="G63" s="8">
        <v>133.9</v>
      </c>
      <c r="H63" s="8">
        <v>115.9</v>
      </c>
      <c r="I63" s="8">
        <v>139.30000000000001</v>
      </c>
      <c r="J63" s="8">
        <v>96.8</v>
      </c>
      <c r="K63" s="8">
        <v>94.8</v>
      </c>
      <c r="L63" s="8">
        <v>69.900000000000006</v>
      </c>
      <c r="M63" s="8">
        <v>61.3</v>
      </c>
      <c r="N63" s="8">
        <v>72.3</v>
      </c>
      <c r="O63" s="28">
        <f>IF('Well Summary'!I63&gt;0,'Well Summary'!F63/('Well Summary'!I63/24),0)</f>
        <v>101.88152675804906</v>
      </c>
    </row>
    <row r="64" spans="1:15" ht="15" customHeight="1" x14ac:dyDescent="0.3">
      <c r="A64" s="6" t="s">
        <v>391</v>
      </c>
      <c r="B64" s="6" t="s">
        <v>392</v>
      </c>
      <c r="C64" s="8">
        <v>104.8</v>
      </c>
      <c r="D64" s="8">
        <v>85</v>
      </c>
      <c r="E64" s="8">
        <v>86.4</v>
      </c>
      <c r="F64" s="8">
        <v>79.099999999999994</v>
      </c>
      <c r="G64" s="8">
        <v>70.900000000000006</v>
      </c>
      <c r="H64" s="8">
        <v>78.2</v>
      </c>
      <c r="I64" s="8">
        <v>45</v>
      </c>
      <c r="J64" s="8">
        <v>66.7</v>
      </c>
      <c r="K64" s="8">
        <v>69.2</v>
      </c>
      <c r="L64" s="8">
        <v>69.7</v>
      </c>
      <c r="M64" s="8">
        <v>75.099999999999994</v>
      </c>
      <c r="N64" s="8">
        <v>69.099999999999994</v>
      </c>
      <c r="O64" s="28">
        <f>IF('Well Summary'!I64&gt;0,'Well Summary'!F64/('Well Summary'!I64/24),0)</f>
        <v>77.557055830922138</v>
      </c>
    </row>
    <row r="65" spans="1:15" ht="15" customHeight="1" x14ac:dyDescent="0.3">
      <c r="A65" s="6" t="s">
        <v>395</v>
      </c>
      <c r="B65" s="6" t="s">
        <v>392</v>
      </c>
      <c r="C65" s="8">
        <v>91.1</v>
      </c>
      <c r="D65" s="8">
        <v>85</v>
      </c>
      <c r="E65" s="8">
        <v>86.2</v>
      </c>
      <c r="F65" s="8">
        <v>84.8</v>
      </c>
      <c r="G65" s="8">
        <v>80.5</v>
      </c>
      <c r="H65" s="8">
        <v>85.8</v>
      </c>
      <c r="I65" s="8">
        <v>3.5</v>
      </c>
      <c r="J65" s="8">
        <v>69.2</v>
      </c>
      <c r="K65" s="8">
        <v>67.7</v>
      </c>
      <c r="L65" s="8">
        <v>57.4</v>
      </c>
      <c r="M65" s="8">
        <v>71.2</v>
      </c>
      <c r="N65" s="8">
        <v>85.4</v>
      </c>
      <c r="O65" s="28">
        <f>IF('Well Summary'!I65&gt;0,'Well Summary'!F65/('Well Summary'!I65/24),0)</f>
        <v>78.60706185273159</v>
      </c>
    </row>
    <row r="66" spans="1:15" ht="15" customHeight="1" x14ac:dyDescent="0.3">
      <c r="A66" s="6" t="s">
        <v>94</v>
      </c>
      <c r="B66" s="6" t="s">
        <v>95</v>
      </c>
      <c r="C66" s="8">
        <v>70.900000000000006</v>
      </c>
      <c r="D66" s="8">
        <v>68.599999999999994</v>
      </c>
      <c r="E66" s="8">
        <v>74.8</v>
      </c>
      <c r="F66" s="8">
        <v>73.5</v>
      </c>
      <c r="G66" s="8">
        <v>70.8</v>
      </c>
      <c r="H66" s="8">
        <v>67.2</v>
      </c>
      <c r="I66" s="8">
        <v>74</v>
      </c>
      <c r="J66" s="8">
        <v>72.3</v>
      </c>
      <c r="K66" s="8">
        <v>66.099999999999994</v>
      </c>
      <c r="L66" s="8">
        <v>56.7</v>
      </c>
      <c r="M66" s="8">
        <v>54.6</v>
      </c>
      <c r="N66" s="8">
        <v>54.6</v>
      </c>
      <c r="O66" s="28">
        <f>IF('Well Summary'!I66&gt;0,'Well Summary'!F66/('Well Summary'!I66/24),0)</f>
        <v>67.020730877954108</v>
      </c>
    </row>
    <row r="67" spans="1:15" ht="15" customHeight="1" x14ac:dyDescent="0.3">
      <c r="A67" s="6" t="s">
        <v>97</v>
      </c>
      <c r="B67" s="6" t="s">
        <v>85</v>
      </c>
      <c r="C67" s="8">
        <v>55.8</v>
      </c>
      <c r="D67" s="8">
        <v>55.8</v>
      </c>
      <c r="E67" s="8">
        <v>38.200000000000003</v>
      </c>
      <c r="F67" s="8">
        <v>54.3</v>
      </c>
      <c r="G67" s="8">
        <v>63.8</v>
      </c>
      <c r="H67" s="8">
        <v>85.3</v>
      </c>
      <c r="I67" s="8">
        <v>80.2</v>
      </c>
      <c r="J67" s="8">
        <v>87.2</v>
      </c>
      <c r="K67" s="8">
        <v>76.400000000000006</v>
      </c>
      <c r="L67" s="8">
        <v>63.3</v>
      </c>
      <c r="M67" s="8">
        <v>68.2</v>
      </c>
      <c r="N67" s="8">
        <v>61.1</v>
      </c>
      <c r="O67" s="28">
        <f>IF('Well Summary'!I67&gt;0,'Well Summary'!F67/('Well Summary'!I67/24),0)</f>
        <v>65.806785862669912</v>
      </c>
    </row>
    <row r="68" spans="1:15" ht="15" customHeight="1" x14ac:dyDescent="0.3">
      <c r="A68" s="6" t="s">
        <v>98</v>
      </c>
      <c r="B68" s="6" t="s">
        <v>89</v>
      </c>
      <c r="C68" s="8">
        <v>65</v>
      </c>
      <c r="D68" s="8">
        <v>53.5</v>
      </c>
      <c r="E68" s="8">
        <v>56.3</v>
      </c>
      <c r="F68" s="8">
        <v>58.4</v>
      </c>
      <c r="G68" s="8">
        <v>53.9</v>
      </c>
      <c r="H68" s="8">
        <v>61.3</v>
      </c>
      <c r="I68" s="8">
        <v>66.400000000000006</v>
      </c>
      <c r="J68" s="8">
        <v>70.5</v>
      </c>
      <c r="K68" s="8">
        <v>63.1</v>
      </c>
      <c r="L68" s="8">
        <v>83.8</v>
      </c>
      <c r="M68" s="8">
        <v>97.2</v>
      </c>
      <c r="N68" s="8">
        <v>88.6</v>
      </c>
      <c r="O68" s="28">
        <f>IF('Well Summary'!I68&gt;0,'Well Summary'!F68/('Well Summary'!I68/24),0)</f>
        <v>68.538724054351803</v>
      </c>
    </row>
    <row r="69" spans="1:15" ht="15" customHeight="1" x14ac:dyDescent="0.3">
      <c r="A69" s="6" t="s">
        <v>450</v>
      </c>
      <c r="B69" s="6" t="s">
        <v>397</v>
      </c>
      <c r="C69" s="8"/>
      <c r="D69" s="8"/>
      <c r="E69" s="8"/>
      <c r="F69" s="8">
        <v>54.8</v>
      </c>
      <c r="G69" s="8">
        <v>185.2</v>
      </c>
      <c r="H69" s="8">
        <v>109</v>
      </c>
      <c r="I69" s="8">
        <v>72.3</v>
      </c>
      <c r="J69" s="8">
        <v>59.3</v>
      </c>
      <c r="K69" s="8">
        <v>76.400000000000006</v>
      </c>
      <c r="L69" s="8">
        <v>79.2</v>
      </c>
      <c r="M69" s="8">
        <v>84.1</v>
      </c>
      <c r="N69" s="8">
        <v>81</v>
      </c>
      <c r="O69" s="28">
        <f>IF('Well Summary'!I69&gt;0,'Well Summary'!F69/('Well Summary'!I69/24),0)</f>
        <v>91.324324698972106</v>
      </c>
    </row>
    <row r="70" spans="1:15" ht="15" customHeight="1" x14ac:dyDescent="0.3">
      <c r="A70" s="6" t="s">
        <v>99</v>
      </c>
      <c r="B70" s="6" t="s">
        <v>100</v>
      </c>
      <c r="C70" s="8">
        <v>65.8</v>
      </c>
      <c r="D70" s="8">
        <v>66.7</v>
      </c>
      <c r="E70" s="8">
        <v>64</v>
      </c>
      <c r="F70" s="8">
        <v>63.9</v>
      </c>
      <c r="G70" s="8">
        <v>60.4</v>
      </c>
      <c r="H70" s="8">
        <v>57.4</v>
      </c>
      <c r="I70" s="8">
        <v>60</v>
      </c>
      <c r="J70" s="8">
        <v>63.5</v>
      </c>
      <c r="K70" s="8">
        <v>60.9</v>
      </c>
      <c r="L70" s="8">
        <v>59.5</v>
      </c>
      <c r="M70" s="8">
        <v>63.3</v>
      </c>
      <c r="N70" s="8">
        <v>57.3</v>
      </c>
      <c r="O70" s="28">
        <f>IF('Well Summary'!I70&gt;0,'Well Summary'!F70/('Well Summary'!I70/24),0)</f>
        <v>61.866374769653902</v>
      </c>
    </row>
    <row r="71" spans="1:15" ht="15" customHeight="1" x14ac:dyDescent="0.3">
      <c r="A71" s="6" t="s">
        <v>102</v>
      </c>
      <c r="B71" s="6" t="s">
        <v>85</v>
      </c>
      <c r="C71" s="8">
        <v>91.5</v>
      </c>
      <c r="D71" s="8">
        <v>72.8</v>
      </c>
      <c r="E71" s="8">
        <v>47.7</v>
      </c>
      <c r="F71" s="8">
        <v>37.799999999999997</v>
      </c>
      <c r="G71" s="8">
        <v>87.9</v>
      </c>
      <c r="H71" s="8">
        <v>76.3</v>
      </c>
      <c r="I71" s="8">
        <v>61</v>
      </c>
      <c r="J71" s="8">
        <v>58.3</v>
      </c>
      <c r="K71" s="8">
        <v>50.9</v>
      </c>
      <c r="L71" s="8">
        <v>46.8</v>
      </c>
      <c r="M71" s="8">
        <v>49.1</v>
      </c>
      <c r="N71" s="8">
        <v>68</v>
      </c>
      <c r="O71" s="28">
        <f>IF('Well Summary'!I71&gt;0,'Well Summary'!F71/('Well Summary'!I71/24),0)</f>
        <v>62.596681581176462</v>
      </c>
    </row>
    <row r="72" spans="1:15" ht="15" customHeight="1" x14ac:dyDescent="0.3">
      <c r="A72" s="6" t="s">
        <v>103</v>
      </c>
      <c r="B72" s="6" t="s">
        <v>51</v>
      </c>
      <c r="C72" s="8">
        <v>77</v>
      </c>
      <c r="D72" s="8">
        <v>72.3</v>
      </c>
      <c r="E72" s="8">
        <v>68.7</v>
      </c>
      <c r="F72" s="8">
        <v>59.2</v>
      </c>
      <c r="G72" s="8">
        <v>46.5</v>
      </c>
      <c r="H72" s="8">
        <v>53.6</v>
      </c>
      <c r="I72" s="8">
        <v>64.7</v>
      </c>
      <c r="J72" s="8">
        <v>51.1</v>
      </c>
      <c r="K72" s="8">
        <v>59.3</v>
      </c>
      <c r="L72" s="8">
        <v>56.8</v>
      </c>
      <c r="M72" s="8">
        <v>53.7</v>
      </c>
      <c r="N72" s="8">
        <v>51.4</v>
      </c>
      <c r="O72" s="28">
        <f>IF('Well Summary'!I72&gt;0,'Well Summary'!F72/('Well Summary'!I72/24),0)</f>
        <v>59.440872517985596</v>
      </c>
    </row>
    <row r="73" spans="1:15" ht="15" customHeight="1" x14ac:dyDescent="0.3">
      <c r="A73" s="6" t="s">
        <v>104</v>
      </c>
      <c r="B73" s="6" t="s">
        <v>29</v>
      </c>
      <c r="C73" s="8">
        <v>78.7</v>
      </c>
      <c r="D73" s="8">
        <v>73.8</v>
      </c>
      <c r="E73" s="8">
        <v>70.599999999999994</v>
      </c>
      <c r="F73" s="8">
        <v>63.4</v>
      </c>
      <c r="G73" s="8">
        <v>64.099999999999994</v>
      </c>
      <c r="H73" s="8">
        <v>63.9</v>
      </c>
      <c r="I73" s="8">
        <v>59.1</v>
      </c>
      <c r="J73" s="8">
        <v>57.1</v>
      </c>
      <c r="K73" s="8">
        <v>52.3</v>
      </c>
      <c r="L73" s="8">
        <v>46</v>
      </c>
      <c r="M73" s="8">
        <v>42.1</v>
      </c>
      <c r="N73" s="8">
        <v>32.6</v>
      </c>
      <c r="O73" s="28">
        <f>IF('Well Summary'!I73&gt;0,'Well Summary'!F73/('Well Summary'!I73/24),0)</f>
        <v>58.572413452299244</v>
      </c>
    </row>
    <row r="74" spans="1:15" ht="15" customHeight="1" x14ac:dyDescent="0.3">
      <c r="A74" s="6" t="s">
        <v>451</v>
      </c>
      <c r="B74" s="6" t="s">
        <v>392</v>
      </c>
      <c r="C74" s="8"/>
      <c r="D74" s="8"/>
      <c r="E74" s="8"/>
      <c r="F74" s="8"/>
      <c r="G74" s="8"/>
      <c r="H74" s="8"/>
      <c r="I74" s="8"/>
      <c r="J74" s="8"/>
      <c r="K74" s="8">
        <v>122.8</v>
      </c>
      <c r="L74" s="8">
        <v>214.1</v>
      </c>
      <c r="M74" s="8">
        <v>194</v>
      </c>
      <c r="N74" s="8">
        <v>167.6</v>
      </c>
      <c r="O74" s="28">
        <f>IF('Well Summary'!I74&gt;0,'Well Summary'!F74/('Well Summary'!I74/24),0)</f>
        <v>175.12150089224431</v>
      </c>
    </row>
    <row r="75" spans="1:15" ht="15" customHeight="1" x14ac:dyDescent="0.3">
      <c r="A75" s="6" t="s">
        <v>105</v>
      </c>
      <c r="B75" s="6" t="s">
        <v>85</v>
      </c>
      <c r="C75" s="8">
        <v>71.900000000000006</v>
      </c>
      <c r="D75" s="8">
        <v>71</v>
      </c>
      <c r="E75" s="8">
        <v>67.599999999999994</v>
      </c>
      <c r="F75" s="8">
        <v>69.5</v>
      </c>
      <c r="G75" s="8">
        <v>72.900000000000006</v>
      </c>
      <c r="H75" s="8">
        <v>67.400000000000006</v>
      </c>
      <c r="I75" s="8">
        <v>64.5</v>
      </c>
      <c r="J75" s="8">
        <v>65.3</v>
      </c>
      <c r="K75" s="8">
        <v>52.1</v>
      </c>
      <c r="L75" s="8">
        <v>43.1</v>
      </c>
      <c r="M75" s="8">
        <v>49.7</v>
      </c>
      <c r="N75" s="8">
        <v>50.4</v>
      </c>
      <c r="O75" s="28">
        <f>IF('Well Summary'!I75&gt;0,'Well Summary'!F75/('Well Summary'!I75/24),0)</f>
        <v>62.098738547322071</v>
      </c>
    </row>
    <row r="76" spans="1:15" ht="15" customHeight="1" x14ac:dyDescent="0.3">
      <c r="A76" s="6" t="s">
        <v>453</v>
      </c>
      <c r="B76" s="6" t="s">
        <v>454</v>
      </c>
      <c r="C76" s="8"/>
      <c r="D76" s="8"/>
      <c r="E76" s="8"/>
      <c r="F76" s="8"/>
      <c r="G76" s="8"/>
      <c r="H76" s="8"/>
      <c r="I76" s="8"/>
      <c r="J76" s="8"/>
      <c r="K76" s="8">
        <v>100.3</v>
      </c>
      <c r="L76" s="8">
        <v>279.5</v>
      </c>
      <c r="M76" s="8">
        <v>220.9</v>
      </c>
      <c r="N76" s="8">
        <v>171.2</v>
      </c>
      <c r="O76" s="28">
        <f>IF('Well Summary'!I76&gt;0,'Well Summary'!F76/('Well Summary'!I76/24),0)</f>
        <v>216.72715062151735</v>
      </c>
    </row>
    <row r="77" spans="1:15" ht="15" customHeight="1" x14ac:dyDescent="0.3">
      <c r="A77" s="6" t="s">
        <v>106</v>
      </c>
      <c r="B77" s="6" t="s">
        <v>38</v>
      </c>
      <c r="C77" s="8">
        <v>86.2</v>
      </c>
      <c r="D77" s="8">
        <v>62.6</v>
      </c>
      <c r="E77" s="8">
        <v>49</v>
      </c>
      <c r="F77" s="8">
        <v>53.3</v>
      </c>
      <c r="G77" s="8">
        <v>56.4</v>
      </c>
      <c r="H77" s="8">
        <v>61.8</v>
      </c>
      <c r="I77" s="8">
        <v>55.3</v>
      </c>
      <c r="J77" s="8">
        <v>51</v>
      </c>
      <c r="K77" s="8">
        <v>52.7</v>
      </c>
      <c r="L77" s="8">
        <v>52.2</v>
      </c>
      <c r="M77" s="8">
        <v>49.1</v>
      </c>
      <c r="N77" s="8">
        <v>61.5</v>
      </c>
      <c r="O77" s="28">
        <f>IF('Well Summary'!I77&gt;0,'Well Summary'!F77/('Well Summary'!I77/24),0)</f>
        <v>57.63081652953344</v>
      </c>
    </row>
    <row r="78" spans="1:15" ht="15" customHeight="1" x14ac:dyDescent="0.3">
      <c r="A78" s="6" t="s">
        <v>457</v>
      </c>
      <c r="B78" s="6" t="s">
        <v>454</v>
      </c>
      <c r="C78" s="8"/>
      <c r="D78" s="8"/>
      <c r="E78" s="8"/>
      <c r="F78" s="8"/>
      <c r="G78" s="8"/>
      <c r="H78" s="8"/>
      <c r="I78" s="8"/>
      <c r="J78" s="8"/>
      <c r="K78" s="8">
        <v>243.9</v>
      </c>
      <c r="L78" s="8">
        <v>208.4</v>
      </c>
      <c r="M78" s="8">
        <v>177.5</v>
      </c>
      <c r="N78" s="8">
        <v>145.69999999999999</v>
      </c>
      <c r="O78" s="28">
        <f>IF('Well Summary'!I78&gt;0,'Well Summary'!F78/('Well Summary'!I78/24),0)</f>
        <v>188.55201805869072</v>
      </c>
    </row>
    <row r="79" spans="1:15" ht="15" customHeight="1" x14ac:dyDescent="0.3">
      <c r="A79" s="6" t="s">
        <v>458</v>
      </c>
      <c r="B79" s="6" t="s">
        <v>62</v>
      </c>
      <c r="C79" s="8"/>
      <c r="D79" s="8"/>
      <c r="E79" s="8"/>
      <c r="F79" s="8"/>
      <c r="G79" s="8"/>
      <c r="H79" s="8"/>
      <c r="I79" s="8"/>
      <c r="J79" s="8"/>
      <c r="K79" s="8"/>
      <c r="L79" s="8">
        <v>195.1</v>
      </c>
      <c r="M79" s="8">
        <v>258.3</v>
      </c>
      <c r="N79" s="8">
        <v>263.5</v>
      </c>
      <c r="O79" s="28">
        <f>IF('Well Summary'!I79&gt;0,'Well Summary'!F79/('Well Summary'!I79/24),0)</f>
        <v>243.49861879518068</v>
      </c>
    </row>
    <row r="80" spans="1:15" ht="15" customHeight="1" x14ac:dyDescent="0.3">
      <c r="A80" s="6" t="s">
        <v>107</v>
      </c>
      <c r="B80" s="6" t="s">
        <v>85</v>
      </c>
      <c r="C80" s="8">
        <v>57</v>
      </c>
      <c r="D80" s="8">
        <v>57.1</v>
      </c>
      <c r="E80" s="8">
        <v>54.3</v>
      </c>
      <c r="F80" s="8">
        <v>55.8</v>
      </c>
      <c r="G80" s="8">
        <v>58.6</v>
      </c>
      <c r="H80" s="8">
        <v>54.2</v>
      </c>
      <c r="I80" s="8">
        <v>51.8</v>
      </c>
      <c r="J80" s="8">
        <v>55.9</v>
      </c>
      <c r="K80" s="8">
        <v>53.6</v>
      </c>
      <c r="L80" s="8">
        <v>53.8</v>
      </c>
      <c r="M80" s="8">
        <v>48.4</v>
      </c>
      <c r="N80" s="8">
        <v>67.099999999999994</v>
      </c>
      <c r="O80" s="28">
        <f>IF('Well Summary'!I80&gt;0,'Well Summary'!F80/('Well Summary'!I80/24),0)</f>
        <v>55.67129707656612</v>
      </c>
    </row>
    <row r="81" spans="1:15" ht="15" customHeight="1" x14ac:dyDescent="0.3">
      <c r="A81" s="6" t="s">
        <v>108</v>
      </c>
      <c r="B81" s="6" t="s">
        <v>109</v>
      </c>
      <c r="C81" s="8">
        <v>69.599999999999994</v>
      </c>
      <c r="D81" s="8">
        <v>63.2</v>
      </c>
      <c r="E81" s="8">
        <v>58.2</v>
      </c>
      <c r="F81" s="8">
        <v>55.9</v>
      </c>
      <c r="G81" s="8">
        <v>56.5</v>
      </c>
      <c r="H81" s="8">
        <v>55</v>
      </c>
      <c r="I81" s="8">
        <v>52.1</v>
      </c>
      <c r="J81" s="8">
        <v>50.4</v>
      </c>
      <c r="K81" s="8">
        <v>52.7</v>
      </c>
      <c r="L81" s="8">
        <v>44.6</v>
      </c>
      <c r="M81" s="8">
        <v>43.3</v>
      </c>
      <c r="N81" s="8">
        <v>43.6</v>
      </c>
      <c r="O81" s="28">
        <f>IF('Well Summary'!I81&gt;0,'Well Summary'!F81/('Well Summary'!I81/24),0)</f>
        <v>53.702463268989142</v>
      </c>
    </row>
    <row r="82" spans="1:15" ht="15" customHeight="1" x14ac:dyDescent="0.3">
      <c r="A82" s="6" t="s">
        <v>111</v>
      </c>
      <c r="B82" s="6" t="s">
        <v>68</v>
      </c>
      <c r="C82" s="8">
        <v>66.2</v>
      </c>
      <c r="D82" s="8">
        <v>58.4</v>
      </c>
      <c r="E82" s="8">
        <v>47.4</v>
      </c>
      <c r="F82" s="8">
        <v>41</v>
      </c>
      <c r="G82" s="8">
        <v>47.6</v>
      </c>
      <c r="H82" s="8">
        <v>50.3</v>
      </c>
      <c r="I82" s="8">
        <v>57.2</v>
      </c>
      <c r="J82" s="8">
        <v>54</v>
      </c>
      <c r="K82" s="8">
        <v>50.4</v>
      </c>
      <c r="L82" s="8">
        <v>54.7</v>
      </c>
      <c r="M82" s="8">
        <v>51.5</v>
      </c>
      <c r="N82" s="8">
        <v>51.1</v>
      </c>
      <c r="O82" s="28">
        <f>IF('Well Summary'!I82&gt;0,'Well Summary'!F82/('Well Summary'!I82/24),0)</f>
        <v>52.482378733714278</v>
      </c>
    </row>
    <row r="83" spans="1:15" ht="15" customHeight="1" x14ac:dyDescent="0.3">
      <c r="A83" s="6" t="s">
        <v>459</v>
      </c>
      <c r="B83" s="6" t="s">
        <v>454</v>
      </c>
      <c r="C83" s="8"/>
      <c r="D83" s="8"/>
      <c r="E83" s="8"/>
      <c r="F83" s="8"/>
      <c r="G83" s="8"/>
      <c r="H83" s="8"/>
      <c r="I83" s="8"/>
      <c r="J83" s="8"/>
      <c r="K83" s="8">
        <v>235.5</v>
      </c>
      <c r="L83" s="8">
        <v>216.4</v>
      </c>
      <c r="M83" s="8">
        <v>144.1</v>
      </c>
      <c r="N83" s="8">
        <v>114.8</v>
      </c>
      <c r="O83" s="28">
        <f>IF('Well Summary'!I83&gt;0,'Well Summary'!F83/('Well Summary'!I83/24),0)</f>
        <v>171.46962461538459</v>
      </c>
    </row>
    <row r="84" spans="1:15" ht="15" customHeight="1" x14ac:dyDescent="0.3">
      <c r="A84" s="6" t="s">
        <v>112</v>
      </c>
      <c r="B84" s="6" t="s">
        <v>85</v>
      </c>
      <c r="C84" s="8">
        <v>54.5</v>
      </c>
      <c r="D84" s="8">
        <v>52</v>
      </c>
      <c r="E84" s="8">
        <v>49.5</v>
      </c>
      <c r="F84" s="8">
        <v>50.9</v>
      </c>
      <c r="G84" s="8">
        <v>53.4</v>
      </c>
      <c r="H84" s="8">
        <v>59</v>
      </c>
      <c r="I84" s="8">
        <v>55.8</v>
      </c>
      <c r="J84" s="8">
        <v>55.9</v>
      </c>
      <c r="K84" s="8">
        <v>55.4</v>
      </c>
      <c r="L84" s="8">
        <v>58.3</v>
      </c>
      <c r="M84" s="8">
        <v>34.9</v>
      </c>
      <c r="N84" s="8">
        <v>47.3</v>
      </c>
      <c r="O84" s="28">
        <f>IF('Well Summary'!I84&gt;0,'Well Summary'!F84/('Well Summary'!I84/24),0)</f>
        <v>52.253318620689654</v>
      </c>
    </row>
    <row r="85" spans="1:15" ht="15" customHeight="1" x14ac:dyDescent="0.3">
      <c r="A85" s="6" t="s">
        <v>113</v>
      </c>
      <c r="B85" s="6" t="s">
        <v>65</v>
      </c>
      <c r="C85" s="8">
        <v>114.1</v>
      </c>
      <c r="D85" s="8">
        <v>92</v>
      </c>
      <c r="E85" s="8">
        <v>77.599999999999994</v>
      </c>
      <c r="F85" s="8">
        <v>40</v>
      </c>
      <c r="G85" s="8">
        <v>39.799999999999997</v>
      </c>
      <c r="H85" s="8">
        <v>32.1</v>
      </c>
      <c r="I85" s="8">
        <v>42.9</v>
      </c>
      <c r="J85" s="8">
        <v>41.2</v>
      </c>
      <c r="K85" s="8">
        <v>45.8</v>
      </c>
      <c r="L85" s="8">
        <v>42.5</v>
      </c>
      <c r="M85" s="8">
        <v>25.7</v>
      </c>
      <c r="N85" s="8">
        <v>26.1</v>
      </c>
      <c r="O85" s="28">
        <f>IF('Well Summary'!I85&gt;0,'Well Summary'!F85/('Well Summary'!I85/24),0)</f>
        <v>51.810392308758949</v>
      </c>
    </row>
    <row r="86" spans="1:15" ht="15" customHeight="1" x14ac:dyDescent="0.3">
      <c r="A86" s="6" t="s">
        <v>114</v>
      </c>
      <c r="B86" s="6" t="s">
        <v>115</v>
      </c>
      <c r="C86" s="8">
        <v>60.3</v>
      </c>
      <c r="D86" s="8">
        <v>64.599999999999994</v>
      </c>
      <c r="E86" s="8">
        <v>35.1</v>
      </c>
      <c r="F86" s="8">
        <v>85.2</v>
      </c>
      <c r="G86" s="8">
        <v>76.099999999999994</v>
      </c>
      <c r="H86" s="8">
        <v>60.3</v>
      </c>
      <c r="I86" s="8">
        <v>58.4</v>
      </c>
      <c r="J86" s="8">
        <v>45.7</v>
      </c>
      <c r="K86" s="8">
        <v>46.6</v>
      </c>
      <c r="L86" s="8">
        <v>38</v>
      </c>
      <c r="M86" s="8">
        <v>33.700000000000003</v>
      </c>
      <c r="N86" s="8">
        <v>33.5</v>
      </c>
      <c r="O86" s="28">
        <f>IF('Well Summary'!I86&gt;0,'Well Summary'!F86/('Well Summary'!I86/24),0)</f>
        <v>52.843267083926023</v>
      </c>
    </row>
    <row r="87" spans="1:15" ht="15" customHeight="1" x14ac:dyDescent="0.3">
      <c r="A87" s="6" t="s">
        <v>117</v>
      </c>
      <c r="B87" s="6" t="s">
        <v>65</v>
      </c>
      <c r="C87" s="8">
        <v>56.2</v>
      </c>
      <c r="D87" s="8">
        <v>52.5</v>
      </c>
      <c r="E87" s="8">
        <v>48.9</v>
      </c>
      <c r="F87" s="8">
        <v>57.4</v>
      </c>
      <c r="G87" s="8">
        <v>47.1</v>
      </c>
      <c r="H87" s="8">
        <v>57.7</v>
      </c>
      <c r="I87" s="8">
        <v>51</v>
      </c>
      <c r="J87" s="8">
        <v>48.8</v>
      </c>
      <c r="K87" s="8">
        <v>53.8</v>
      </c>
      <c r="L87" s="8">
        <v>42.9</v>
      </c>
      <c r="M87" s="8">
        <v>47.4</v>
      </c>
      <c r="N87" s="8">
        <v>43.5</v>
      </c>
      <c r="O87" s="28">
        <f>IF('Well Summary'!I87&gt;0,'Well Summary'!F87/('Well Summary'!I87/24),0)</f>
        <v>50.537025565973018</v>
      </c>
    </row>
    <row r="88" spans="1:15" ht="15" customHeight="1" x14ac:dyDescent="0.3">
      <c r="A88" s="6" t="s">
        <v>460</v>
      </c>
      <c r="B88" s="6" t="s">
        <v>461</v>
      </c>
      <c r="C88" s="8"/>
      <c r="D88" s="8"/>
      <c r="E88" s="8"/>
      <c r="F88" s="8">
        <v>104.2</v>
      </c>
      <c r="G88" s="8">
        <v>97.3</v>
      </c>
      <c r="H88" s="8">
        <v>64.099999999999994</v>
      </c>
      <c r="I88" s="8">
        <v>36.799999999999997</v>
      </c>
      <c r="J88" s="8">
        <v>94.7</v>
      </c>
      <c r="K88" s="8">
        <v>68</v>
      </c>
      <c r="L88" s="8">
        <v>56.3</v>
      </c>
      <c r="M88" s="8">
        <v>38.6</v>
      </c>
      <c r="N88" s="8">
        <v>52.2</v>
      </c>
      <c r="O88" s="28">
        <f>IF('Well Summary'!I88&gt;0,'Well Summary'!F88/('Well Summary'!I88/24),0)</f>
        <v>67.755993000463747</v>
      </c>
    </row>
    <row r="89" spans="1:15" ht="15" customHeight="1" x14ac:dyDescent="0.3">
      <c r="A89" s="6" t="s">
        <v>118</v>
      </c>
      <c r="B89" s="6" t="s">
        <v>100</v>
      </c>
      <c r="C89" s="8">
        <v>55.1</v>
      </c>
      <c r="D89" s="8">
        <v>55.8</v>
      </c>
      <c r="E89" s="8">
        <v>53.2</v>
      </c>
      <c r="F89" s="8">
        <v>51.8</v>
      </c>
      <c r="G89" s="8">
        <v>53</v>
      </c>
      <c r="H89" s="8">
        <v>54.4</v>
      </c>
      <c r="I89" s="8">
        <v>53.5</v>
      </c>
      <c r="J89" s="8">
        <v>53.1</v>
      </c>
      <c r="K89" s="8">
        <v>48.1</v>
      </c>
      <c r="L89" s="8">
        <v>44.5</v>
      </c>
      <c r="M89" s="8">
        <v>41.9</v>
      </c>
      <c r="N89" s="8">
        <v>43.3</v>
      </c>
      <c r="O89" s="28">
        <f>IF('Well Summary'!I89&gt;0,'Well Summary'!F89/('Well Summary'!I89/24),0)</f>
        <v>50.573309312977088</v>
      </c>
    </row>
    <row r="90" spans="1:15" ht="15" customHeight="1" x14ac:dyDescent="0.3">
      <c r="A90" s="6" t="s">
        <v>119</v>
      </c>
      <c r="B90" s="6" t="s">
        <v>120</v>
      </c>
      <c r="C90" s="8">
        <v>61.3</v>
      </c>
      <c r="D90" s="8">
        <v>59.8</v>
      </c>
      <c r="E90" s="8">
        <v>59.5</v>
      </c>
      <c r="F90" s="8">
        <v>46.1</v>
      </c>
      <c r="G90" s="8">
        <v>38.799999999999997</v>
      </c>
      <c r="H90" s="8">
        <v>38</v>
      </c>
      <c r="I90" s="8">
        <v>52.1</v>
      </c>
      <c r="J90" s="8">
        <v>56.2</v>
      </c>
      <c r="K90" s="8">
        <v>54.3</v>
      </c>
      <c r="L90" s="8">
        <v>46.4</v>
      </c>
      <c r="M90" s="8">
        <v>40.700000000000003</v>
      </c>
      <c r="N90" s="8">
        <v>41.4</v>
      </c>
      <c r="O90" s="28">
        <f>IF('Well Summary'!I90&gt;0,'Well Summary'!F90/('Well Summary'!I90/24),0)</f>
        <v>49.55952979142792</v>
      </c>
    </row>
    <row r="91" spans="1:15" ht="15" customHeight="1" x14ac:dyDescent="0.3">
      <c r="A91" s="6" t="s">
        <v>122</v>
      </c>
      <c r="B91" s="6" t="s">
        <v>123</v>
      </c>
      <c r="C91" s="8">
        <v>90.4</v>
      </c>
      <c r="D91" s="8">
        <v>60.9</v>
      </c>
      <c r="E91" s="8">
        <v>61</v>
      </c>
      <c r="F91" s="8">
        <v>59.9</v>
      </c>
      <c r="G91" s="8">
        <v>60</v>
      </c>
      <c r="H91" s="8">
        <v>37</v>
      </c>
      <c r="I91" s="8">
        <v>34.5</v>
      </c>
      <c r="J91" s="8">
        <v>33.5</v>
      </c>
      <c r="K91" s="8">
        <v>30.9</v>
      </c>
      <c r="L91" s="8">
        <v>32.4</v>
      </c>
      <c r="M91" s="8">
        <v>31.3</v>
      </c>
      <c r="N91" s="8">
        <v>32.299999999999997</v>
      </c>
      <c r="O91" s="28">
        <f>IF('Well Summary'!I91&gt;0,'Well Summary'!F91/('Well Summary'!I91/24),0)</f>
        <v>47.127733438551687</v>
      </c>
    </row>
    <row r="92" spans="1:15" ht="15" customHeight="1" x14ac:dyDescent="0.3">
      <c r="A92" s="6" t="s">
        <v>396</v>
      </c>
      <c r="B92" s="6" t="s">
        <v>397</v>
      </c>
      <c r="C92" s="8">
        <v>101.9</v>
      </c>
      <c r="D92" s="8"/>
      <c r="E92" s="8"/>
      <c r="F92" s="8">
        <v>40</v>
      </c>
      <c r="G92" s="8">
        <v>111.6</v>
      </c>
      <c r="H92" s="8">
        <v>71.2</v>
      </c>
      <c r="I92" s="8">
        <v>52.1</v>
      </c>
      <c r="J92" s="8">
        <v>42.6</v>
      </c>
      <c r="K92" s="8">
        <v>47.5</v>
      </c>
      <c r="L92" s="8">
        <v>38.200000000000003</v>
      </c>
      <c r="M92" s="8">
        <v>42.6</v>
      </c>
      <c r="N92" s="8">
        <v>62.8</v>
      </c>
      <c r="O92" s="28">
        <f>IF('Well Summary'!I92&gt;0,'Well Summary'!F92/('Well Summary'!I92/24),0)</f>
        <v>60.807209855421668</v>
      </c>
    </row>
    <row r="93" spans="1:15" ht="15" customHeight="1" x14ac:dyDescent="0.3">
      <c r="A93" s="6" t="s">
        <v>125</v>
      </c>
      <c r="B93" s="6" t="s">
        <v>77</v>
      </c>
      <c r="C93" s="8">
        <v>56</v>
      </c>
      <c r="D93" s="8">
        <v>54</v>
      </c>
      <c r="E93" s="8">
        <v>54</v>
      </c>
      <c r="F93" s="8">
        <v>52.3</v>
      </c>
      <c r="G93" s="8">
        <v>53.5</v>
      </c>
      <c r="H93" s="8">
        <v>55.2</v>
      </c>
      <c r="I93" s="8">
        <v>53</v>
      </c>
      <c r="J93" s="8">
        <v>55.5</v>
      </c>
      <c r="K93" s="8">
        <v>53.2</v>
      </c>
      <c r="L93" s="8">
        <v>40.1</v>
      </c>
      <c r="M93" s="8">
        <v>33.9</v>
      </c>
      <c r="N93" s="8">
        <v>21.3</v>
      </c>
      <c r="O93" s="28">
        <f>IF('Well Summary'!I93&gt;0,'Well Summary'!F93/('Well Summary'!I93/24),0)</f>
        <v>48.217218643294508</v>
      </c>
    </row>
    <row r="94" spans="1:15" ht="15" customHeight="1" x14ac:dyDescent="0.3">
      <c r="A94" s="6" t="s">
        <v>126</v>
      </c>
      <c r="B94" s="6" t="s">
        <v>89</v>
      </c>
      <c r="C94" s="8">
        <v>58.5</v>
      </c>
      <c r="D94" s="8">
        <v>31.8</v>
      </c>
      <c r="E94" s="8">
        <v>43.6</v>
      </c>
      <c r="F94" s="8">
        <v>88.2</v>
      </c>
      <c r="G94" s="8">
        <v>66.599999999999994</v>
      </c>
      <c r="H94" s="8">
        <v>56.8</v>
      </c>
      <c r="I94" s="8">
        <v>50.3</v>
      </c>
      <c r="J94" s="8">
        <v>44.1</v>
      </c>
      <c r="K94" s="8">
        <v>60.7</v>
      </c>
      <c r="L94" s="8">
        <v>36.200000000000003</v>
      </c>
      <c r="M94" s="8">
        <v>24.7</v>
      </c>
      <c r="N94" s="8">
        <v>41.9</v>
      </c>
      <c r="O94" s="28">
        <f>IF('Well Summary'!I94&gt;0,'Well Summary'!F94/('Well Summary'!I94/24),0)</f>
        <v>49.405379512195125</v>
      </c>
    </row>
    <row r="95" spans="1:15" ht="15" customHeight="1" x14ac:dyDescent="0.3">
      <c r="A95" s="6" t="s">
        <v>127</v>
      </c>
      <c r="B95" s="6" t="s">
        <v>109</v>
      </c>
      <c r="C95" s="8">
        <v>70.5</v>
      </c>
      <c r="D95" s="8">
        <v>57.1</v>
      </c>
      <c r="E95" s="8">
        <v>56.2</v>
      </c>
      <c r="F95" s="8">
        <v>52.5</v>
      </c>
      <c r="G95" s="8">
        <v>52</v>
      </c>
      <c r="H95" s="8">
        <v>50.8</v>
      </c>
      <c r="I95" s="8">
        <v>49.3</v>
      </c>
      <c r="J95" s="8">
        <v>46.5</v>
      </c>
      <c r="K95" s="8">
        <v>41.5</v>
      </c>
      <c r="L95" s="8">
        <v>29.3</v>
      </c>
      <c r="M95" s="8">
        <v>21</v>
      </c>
      <c r="N95" s="8">
        <v>19.600000000000001</v>
      </c>
      <c r="O95" s="28">
        <f>IF('Well Summary'!I95&gt;0,'Well Summary'!F95/('Well Summary'!I95/24),0)</f>
        <v>45.550938956043957</v>
      </c>
    </row>
    <row r="96" spans="1:15" ht="15" customHeight="1" x14ac:dyDescent="0.3">
      <c r="A96" s="6" t="s">
        <v>370</v>
      </c>
      <c r="B96" s="6" t="s">
        <v>371</v>
      </c>
      <c r="C96" s="8"/>
      <c r="D96" s="8"/>
      <c r="E96" s="8">
        <v>71.7</v>
      </c>
      <c r="F96" s="8">
        <v>105.5</v>
      </c>
      <c r="G96" s="8">
        <v>53.1</v>
      </c>
      <c r="H96" s="8">
        <v>69</v>
      </c>
      <c r="I96" s="8">
        <v>54.7</v>
      </c>
      <c r="J96" s="8">
        <v>35.700000000000003</v>
      </c>
      <c r="K96" s="8">
        <v>48.5</v>
      </c>
      <c r="L96" s="8">
        <v>42.3</v>
      </c>
      <c r="M96" s="8">
        <v>42.3</v>
      </c>
      <c r="N96" s="8">
        <v>39.9</v>
      </c>
      <c r="O96" s="28">
        <f>IF('Well Summary'!I96&gt;0,'Well Summary'!F96/('Well Summary'!I96/24),0)</f>
        <v>55.178624993441183</v>
      </c>
    </row>
    <row r="97" spans="1:15" ht="15" customHeight="1" x14ac:dyDescent="0.3">
      <c r="A97" s="6" t="s">
        <v>128</v>
      </c>
      <c r="B97" s="6" t="s">
        <v>65</v>
      </c>
      <c r="C97" s="8">
        <v>41.1</v>
      </c>
      <c r="D97" s="8">
        <v>38.1</v>
      </c>
      <c r="E97" s="8">
        <v>45.9</v>
      </c>
      <c r="F97" s="8">
        <v>52.7</v>
      </c>
      <c r="G97" s="8">
        <v>40.6</v>
      </c>
      <c r="H97" s="8">
        <v>37.5</v>
      </c>
      <c r="I97" s="8">
        <v>40.799999999999997</v>
      </c>
      <c r="J97" s="8">
        <v>35</v>
      </c>
      <c r="K97" s="8">
        <v>36.299999999999997</v>
      </c>
      <c r="L97" s="8">
        <v>55.2</v>
      </c>
      <c r="M97" s="8">
        <v>35.5</v>
      </c>
      <c r="N97" s="8">
        <v>58</v>
      </c>
      <c r="O97" s="28">
        <f>IF('Well Summary'!I97&gt;0,'Well Summary'!F97/('Well Summary'!I97/24),0)</f>
        <v>43.128086834170851</v>
      </c>
    </row>
    <row r="98" spans="1:15" ht="15" customHeight="1" x14ac:dyDescent="0.3">
      <c r="A98" s="6" t="s">
        <v>463</v>
      </c>
      <c r="B98" s="6" t="s">
        <v>454</v>
      </c>
      <c r="C98" s="8"/>
      <c r="D98" s="8"/>
      <c r="E98" s="8"/>
      <c r="F98" s="8"/>
      <c r="G98" s="8"/>
      <c r="H98" s="8"/>
      <c r="I98" s="8"/>
      <c r="J98" s="8">
        <v>39.799999999999997</v>
      </c>
      <c r="K98" s="8">
        <v>178.8</v>
      </c>
      <c r="L98" s="8">
        <v>140.9</v>
      </c>
      <c r="M98" s="8">
        <v>98.6</v>
      </c>
      <c r="N98" s="8">
        <v>86.9</v>
      </c>
      <c r="O98" s="28">
        <f>IF('Well Summary'!I98&gt;0,'Well Summary'!F98/('Well Summary'!I98/24),0)</f>
        <v>122.18770609037328</v>
      </c>
    </row>
    <row r="99" spans="1:15" ht="15" customHeight="1" x14ac:dyDescent="0.3">
      <c r="A99" s="6" t="s">
        <v>464</v>
      </c>
      <c r="B99" s="6" t="s">
        <v>454</v>
      </c>
      <c r="C99" s="8"/>
      <c r="D99" s="8"/>
      <c r="E99" s="8"/>
      <c r="F99" s="8"/>
      <c r="G99" s="8"/>
      <c r="H99" s="8"/>
      <c r="I99" s="8"/>
      <c r="J99" s="8">
        <v>92.9</v>
      </c>
      <c r="K99" s="8">
        <v>131.1</v>
      </c>
      <c r="L99" s="8">
        <v>114.6</v>
      </c>
      <c r="M99" s="8">
        <v>126</v>
      </c>
      <c r="N99" s="8">
        <v>120.1</v>
      </c>
      <c r="O99" s="28">
        <f>IF('Well Summary'!I99&gt;0,'Well Summary'!F99/('Well Summary'!I99/24),0)</f>
        <v>121.42737300983606</v>
      </c>
    </row>
    <row r="100" spans="1:15" ht="15" customHeight="1" x14ac:dyDescent="0.3">
      <c r="A100" s="6" t="s">
        <v>465</v>
      </c>
      <c r="B100" s="6" t="s">
        <v>62</v>
      </c>
      <c r="C100" s="8"/>
      <c r="D100" s="8"/>
      <c r="E100" s="8"/>
      <c r="F100" s="8"/>
      <c r="G100" s="8"/>
      <c r="H100" s="8"/>
      <c r="I100" s="8"/>
      <c r="J100" s="8"/>
      <c r="K100" s="8"/>
      <c r="L100" s="8">
        <v>220.1</v>
      </c>
      <c r="M100" s="8">
        <v>214.9</v>
      </c>
      <c r="N100" s="8">
        <v>195.5</v>
      </c>
      <c r="O100" s="28">
        <f>IF('Well Summary'!I100&gt;0,'Well Summary'!F100/('Well Summary'!I100/24),0)</f>
        <v>207.60609095022622</v>
      </c>
    </row>
    <row r="101" spans="1:15" ht="15" customHeight="1" x14ac:dyDescent="0.3">
      <c r="A101" s="6" t="s">
        <v>129</v>
      </c>
      <c r="B101" s="6" t="s">
        <v>59</v>
      </c>
      <c r="C101" s="8">
        <v>121</v>
      </c>
      <c r="D101" s="8">
        <v>71.599999999999994</v>
      </c>
      <c r="E101" s="8">
        <v>55</v>
      </c>
      <c r="F101" s="8">
        <v>40.9</v>
      </c>
      <c r="G101" s="8">
        <v>34.700000000000003</v>
      </c>
      <c r="H101" s="8">
        <v>30.5</v>
      </c>
      <c r="I101" s="8">
        <v>30.5</v>
      </c>
      <c r="J101" s="8">
        <v>31.8</v>
      </c>
      <c r="K101" s="8">
        <v>27.6</v>
      </c>
      <c r="L101" s="8">
        <v>25.6</v>
      </c>
      <c r="M101" s="8">
        <v>23.4</v>
      </c>
      <c r="N101" s="8">
        <v>28.3</v>
      </c>
      <c r="O101" s="28">
        <f>IF('Well Summary'!I101&gt;0,'Well Summary'!F101/('Well Summary'!I101/24),0)</f>
        <v>42.950369721078019</v>
      </c>
    </row>
    <row r="102" spans="1:15" ht="15" customHeight="1" x14ac:dyDescent="0.3">
      <c r="A102" s="6" t="s">
        <v>130</v>
      </c>
      <c r="B102" s="6" t="s">
        <v>85</v>
      </c>
      <c r="C102" s="8">
        <v>52.8</v>
      </c>
      <c r="D102" s="8">
        <v>60.9</v>
      </c>
      <c r="E102" s="8">
        <v>62.1</v>
      </c>
      <c r="F102" s="8">
        <v>27.3</v>
      </c>
      <c r="G102" s="8">
        <v>35.799999999999997</v>
      </c>
      <c r="H102" s="8">
        <v>33.1</v>
      </c>
      <c r="I102" s="8">
        <v>32.1</v>
      </c>
      <c r="J102" s="8">
        <v>38.299999999999997</v>
      </c>
      <c r="K102" s="8">
        <v>38.700000000000003</v>
      </c>
      <c r="L102" s="8">
        <v>39</v>
      </c>
      <c r="M102" s="8">
        <v>41.5</v>
      </c>
      <c r="N102" s="8">
        <v>66.5</v>
      </c>
      <c r="O102" s="28">
        <f>IF('Well Summary'!I102&gt;0,'Well Summary'!F102/('Well Summary'!I102/24),0)</f>
        <v>43.723128043557168</v>
      </c>
    </row>
    <row r="103" spans="1:15" ht="15" customHeight="1" x14ac:dyDescent="0.3">
      <c r="A103" s="6" t="s">
        <v>466</v>
      </c>
      <c r="B103" s="6" t="s">
        <v>62</v>
      </c>
      <c r="C103" s="8"/>
      <c r="D103" s="8"/>
      <c r="E103" s="8"/>
      <c r="F103" s="8"/>
      <c r="G103" s="8"/>
      <c r="H103" s="8"/>
      <c r="I103" s="8"/>
      <c r="J103" s="8"/>
      <c r="K103" s="8"/>
      <c r="L103" s="8">
        <v>191.2</v>
      </c>
      <c r="M103" s="8">
        <v>190.3</v>
      </c>
      <c r="N103" s="8">
        <v>162.4</v>
      </c>
      <c r="O103" s="28">
        <f>IF('Well Summary'!I103&gt;0,'Well Summary'!F103/('Well Summary'!I103/24),0)</f>
        <v>180.13077831325299</v>
      </c>
    </row>
    <row r="104" spans="1:15" ht="15" customHeight="1" x14ac:dyDescent="0.3">
      <c r="A104" s="6" t="s">
        <v>131</v>
      </c>
      <c r="B104" s="6" t="s">
        <v>132</v>
      </c>
      <c r="C104" s="8">
        <v>72</v>
      </c>
      <c r="D104" s="8">
        <v>76.2</v>
      </c>
      <c r="E104" s="8">
        <v>61.3</v>
      </c>
      <c r="F104" s="8">
        <v>45.6</v>
      </c>
      <c r="G104" s="8">
        <v>31.3</v>
      </c>
      <c r="H104" s="8">
        <v>11</v>
      </c>
      <c r="I104" s="8">
        <v>17.8</v>
      </c>
      <c r="J104" s="8">
        <v>41.2</v>
      </c>
      <c r="K104" s="8">
        <v>34.4</v>
      </c>
      <c r="L104" s="8">
        <v>33.299999999999997</v>
      </c>
      <c r="M104" s="8">
        <v>29.7</v>
      </c>
      <c r="N104" s="8">
        <v>31.7</v>
      </c>
      <c r="O104" s="28">
        <f>IF('Well Summary'!I104&gt;0,'Well Summary'!F104/('Well Summary'!I104/24),0)</f>
        <v>40.321501488747835</v>
      </c>
    </row>
    <row r="105" spans="1:15" ht="15" customHeight="1" x14ac:dyDescent="0.3">
      <c r="A105" s="6" t="s">
        <v>134</v>
      </c>
      <c r="B105" s="6" t="s">
        <v>135</v>
      </c>
      <c r="C105" s="8">
        <v>47.6</v>
      </c>
      <c r="D105" s="8">
        <v>51.8</v>
      </c>
      <c r="E105" s="8">
        <v>38.700000000000003</v>
      </c>
      <c r="F105" s="8">
        <v>37.799999999999997</v>
      </c>
      <c r="G105" s="8">
        <v>47.5</v>
      </c>
      <c r="H105" s="8">
        <v>50.5</v>
      </c>
      <c r="I105" s="8">
        <v>49.2</v>
      </c>
      <c r="J105" s="8">
        <v>34.299999999999997</v>
      </c>
      <c r="K105" s="8">
        <v>29</v>
      </c>
      <c r="L105" s="8">
        <v>29.1</v>
      </c>
      <c r="M105" s="8">
        <v>28.1</v>
      </c>
      <c r="N105" s="8">
        <v>35.4</v>
      </c>
      <c r="O105" s="28">
        <f>IF('Well Summary'!I105&gt;0,'Well Summary'!F105/('Well Summary'!I105/24),0)</f>
        <v>39.836606467947973</v>
      </c>
    </row>
    <row r="106" spans="1:15" ht="15" customHeight="1" x14ac:dyDescent="0.3">
      <c r="A106" s="6" t="s">
        <v>137</v>
      </c>
      <c r="B106" s="6" t="s">
        <v>138</v>
      </c>
      <c r="C106" s="8">
        <v>48</v>
      </c>
      <c r="D106" s="8">
        <v>45.6</v>
      </c>
      <c r="E106" s="8">
        <v>44.1</v>
      </c>
      <c r="F106" s="8">
        <v>37.5</v>
      </c>
      <c r="G106" s="8">
        <v>41.5</v>
      </c>
      <c r="H106" s="8">
        <v>31.8</v>
      </c>
      <c r="I106" s="8">
        <v>32</v>
      </c>
      <c r="J106" s="8">
        <v>29.9</v>
      </c>
      <c r="K106" s="8">
        <v>39</v>
      </c>
      <c r="L106" s="8">
        <v>48</v>
      </c>
      <c r="M106" s="8">
        <v>41.3</v>
      </c>
      <c r="N106" s="8">
        <v>30.7</v>
      </c>
      <c r="O106" s="28">
        <f>IF('Well Summary'!I106&gt;0,'Well Summary'!F106/('Well Summary'!I106/24),0)</f>
        <v>39.072280754716978</v>
      </c>
    </row>
    <row r="107" spans="1:15" ht="15" customHeight="1" x14ac:dyDescent="0.3">
      <c r="A107" s="6" t="s">
        <v>140</v>
      </c>
      <c r="B107" s="6" t="s">
        <v>109</v>
      </c>
      <c r="C107" s="8">
        <v>46.1</v>
      </c>
      <c r="D107" s="8">
        <v>44.6</v>
      </c>
      <c r="E107" s="8">
        <v>42.7</v>
      </c>
      <c r="F107" s="8">
        <v>41.5</v>
      </c>
      <c r="G107" s="8">
        <v>44.4</v>
      </c>
      <c r="H107" s="8">
        <v>36.799999999999997</v>
      </c>
      <c r="I107" s="8">
        <v>34.6</v>
      </c>
      <c r="J107" s="8">
        <v>35.1</v>
      </c>
      <c r="K107" s="8">
        <v>38</v>
      </c>
      <c r="L107" s="8">
        <v>27.2</v>
      </c>
      <c r="M107" s="8">
        <v>33</v>
      </c>
      <c r="N107" s="8">
        <v>33.700000000000003</v>
      </c>
      <c r="O107" s="28">
        <f>IF('Well Summary'!I107&gt;0,'Well Summary'!F107/('Well Summary'!I107/24),0)</f>
        <v>38.105848602739727</v>
      </c>
    </row>
    <row r="108" spans="1:15" ht="15" customHeight="1" x14ac:dyDescent="0.3">
      <c r="A108" s="6" t="s">
        <v>141</v>
      </c>
      <c r="B108" s="6" t="s">
        <v>115</v>
      </c>
      <c r="C108" s="8">
        <v>33.5</v>
      </c>
      <c r="D108" s="8">
        <v>35.5</v>
      </c>
      <c r="E108" s="8">
        <v>30.6</v>
      </c>
      <c r="F108" s="8">
        <v>15.5</v>
      </c>
      <c r="G108" s="8">
        <v>23.5</v>
      </c>
      <c r="H108" s="8">
        <v>23.4</v>
      </c>
      <c r="I108" s="8">
        <v>24.8</v>
      </c>
      <c r="J108" s="8">
        <v>50.9</v>
      </c>
      <c r="K108" s="8">
        <v>53.3</v>
      </c>
      <c r="L108" s="8">
        <v>54.5</v>
      </c>
      <c r="M108" s="8">
        <v>52.9</v>
      </c>
      <c r="N108" s="8">
        <v>52.7</v>
      </c>
      <c r="O108" s="28">
        <f>IF('Well Summary'!I108&gt;0,'Well Summary'!F108/('Well Summary'!I108/24),0)</f>
        <v>37.674902692798327</v>
      </c>
    </row>
    <row r="109" spans="1:15" ht="15" customHeight="1" x14ac:dyDescent="0.3">
      <c r="A109" s="6" t="s">
        <v>142</v>
      </c>
      <c r="B109" s="6" t="s">
        <v>68</v>
      </c>
      <c r="C109" s="8">
        <v>56.1</v>
      </c>
      <c r="D109" s="8">
        <v>54.7</v>
      </c>
      <c r="E109" s="8">
        <v>44.8</v>
      </c>
      <c r="F109" s="8">
        <v>41.7</v>
      </c>
      <c r="G109" s="8">
        <v>39.9</v>
      </c>
      <c r="H109" s="8">
        <v>22.2</v>
      </c>
      <c r="I109" s="8">
        <v>21.7</v>
      </c>
      <c r="J109" s="8">
        <v>23.5</v>
      </c>
      <c r="K109" s="8">
        <v>30.3</v>
      </c>
      <c r="L109" s="8">
        <v>28.5</v>
      </c>
      <c r="M109" s="8">
        <v>31.3</v>
      </c>
      <c r="N109" s="8">
        <v>34.9</v>
      </c>
      <c r="O109" s="28">
        <f>IF('Well Summary'!I109&gt;0,'Well Summary'!F109/('Well Summary'!I109/24),0)</f>
        <v>35.768877106441607</v>
      </c>
    </row>
    <row r="110" spans="1:15" ht="15" customHeight="1" x14ac:dyDescent="0.3">
      <c r="A110" s="6" t="s">
        <v>143</v>
      </c>
      <c r="B110" s="6" t="s">
        <v>120</v>
      </c>
      <c r="C110" s="8">
        <v>48</v>
      </c>
      <c r="D110" s="8">
        <v>46.1</v>
      </c>
      <c r="E110" s="8">
        <v>46.4</v>
      </c>
      <c r="F110" s="8">
        <v>46.7</v>
      </c>
      <c r="G110" s="8">
        <v>42.2</v>
      </c>
      <c r="H110" s="8">
        <v>41.7</v>
      </c>
      <c r="I110" s="8">
        <v>36.9</v>
      </c>
      <c r="J110" s="8">
        <v>37.5</v>
      </c>
      <c r="K110" s="8">
        <v>36.299999999999997</v>
      </c>
      <c r="L110" s="8">
        <v>8.6</v>
      </c>
      <c r="M110" s="8">
        <v>6.2</v>
      </c>
      <c r="N110" s="8">
        <v>38.5</v>
      </c>
      <c r="O110" s="28">
        <f>IF('Well Summary'!I110&gt;0,'Well Summary'!F110/('Well Summary'!I110/24),0)</f>
        <v>36.408939593764764</v>
      </c>
    </row>
    <row r="111" spans="1:15" ht="15" customHeight="1" x14ac:dyDescent="0.3">
      <c r="A111" s="6" t="s">
        <v>144</v>
      </c>
      <c r="B111" s="6" t="s">
        <v>55</v>
      </c>
      <c r="C111" s="8">
        <v>57.6</v>
      </c>
      <c r="D111" s="8">
        <v>67.8</v>
      </c>
      <c r="E111" s="8">
        <v>6.8</v>
      </c>
      <c r="F111" s="8">
        <v>44.9</v>
      </c>
      <c r="G111" s="8">
        <v>8</v>
      </c>
      <c r="H111" s="8">
        <v>14.3</v>
      </c>
      <c r="I111" s="8">
        <v>11.5</v>
      </c>
      <c r="J111" s="8">
        <v>9.1999999999999993</v>
      </c>
      <c r="K111" s="8">
        <v>9.1999999999999993</v>
      </c>
      <c r="L111" s="8">
        <v>83.4</v>
      </c>
      <c r="M111" s="8">
        <v>78.900000000000006</v>
      </c>
      <c r="N111" s="8">
        <v>54.7</v>
      </c>
      <c r="O111" s="28">
        <f>IF('Well Summary'!I111&gt;0,'Well Summary'!F111/('Well Summary'!I111/24),0)</f>
        <v>37.649740884955754</v>
      </c>
    </row>
    <row r="112" spans="1:15" ht="15" customHeight="1" x14ac:dyDescent="0.3">
      <c r="A112" s="6" t="s">
        <v>145</v>
      </c>
      <c r="B112" s="6" t="s">
        <v>146</v>
      </c>
      <c r="C112" s="8">
        <v>37.6</v>
      </c>
      <c r="D112" s="8">
        <v>38.4</v>
      </c>
      <c r="E112" s="8">
        <v>47.8</v>
      </c>
      <c r="F112" s="8">
        <v>39.9</v>
      </c>
      <c r="G112" s="8">
        <v>39.799999999999997</v>
      </c>
      <c r="H112" s="8">
        <v>11.8</v>
      </c>
      <c r="I112" s="8">
        <v>19.100000000000001</v>
      </c>
      <c r="J112" s="8">
        <v>37</v>
      </c>
      <c r="K112" s="8">
        <v>32.6</v>
      </c>
      <c r="L112" s="8">
        <v>27.4</v>
      </c>
      <c r="M112" s="8">
        <v>43.3</v>
      </c>
      <c r="N112" s="8">
        <v>44.3</v>
      </c>
      <c r="O112" s="28">
        <f>IF('Well Summary'!I112&gt;0,'Well Summary'!F112/('Well Summary'!I112/24),0)</f>
        <v>34.902237638714105</v>
      </c>
    </row>
    <row r="113" spans="1:15" ht="15" customHeight="1" x14ac:dyDescent="0.3">
      <c r="A113" s="6" t="s">
        <v>148</v>
      </c>
      <c r="B113" s="6" t="s">
        <v>85</v>
      </c>
      <c r="C113" s="8">
        <v>30.1</v>
      </c>
      <c r="D113" s="8">
        <v>30.1</v>
      </c>
      <c r="E113" s="8">
        <v>28.7</v>
      </c>
      <c r="F113" s="8">
        <v>29.5</v>
      </c>
      <c r="G113" s="8">
        <v>32.799999999999997</v>
      </c>
      <c r="H113" s="8">
        <v>39.1</v>
      </c>
      <c r="I113" s="8">
        <v>37.4</v>
      </c>
      <c r="J113" s="8">
        <v>40.4</v>
      </c>
      <c r="K113" s="8">
        <v>38.700000000000003</v>
      </c>
      <c r="L113" s="8">
        <v>38.9</v>
      </c>
      <c r="M113" s="8">
        <v>36.9</v>
      </c>
      <c r="N113" s="8">
        <v>37.299999999999997</v>
      </c>
      <c r="O113" s="28">
        <f>IF('Well Summary'!I113&gt;0,'Well Summary'!F113/('Well Summary'!I113/24),0)</f>
        <v>35.002596070320578</v>
      </c>
    </row>
    <row r="114" spans="1:15" ht="15" customHeight="1" x14ac:dyDescent="0.3">
      <c r="A114" s="6" t="s">
        <v>401</v>
      </c>
      <c r="B114" s="6" t="s">
        <v>362</v>
      </c>
      <c r="C114" s="8"/>
      <c r="D114" s="8"/>
      <c r="E114" s="8"/>
      <c r="F114" s="8">
        <v>99.6</v>
      </c>
      <c r="G114" s="8">
        <v>84.4</v>
      </c>
      <c r="H114" s="8">
        <v>29.8</v>
      </c>
      <c r="I114" s="8">
        <v>50</v>
      </c>
      <c r="J114" s="8"/>
      <c r="K114" s="8"/>
      <c r="L114" s="8">
        <v>77.900000000000006</v>
      </c>
      <c r="M114" s="8">
        <v>90.1</v>
      </c>
      <c r="N114" s="8">
        <v>79.400000000000006</v>
      </c>
      <c r="O114" s="28">
        <f>IF('Well Summary'!I114&gt;0,'Well Summary'!F114/('Well Summary'!I114/24),0)</f>
        <v>72.611501028128032</v>
      </c>
    </row>
    <row r="115" spans="1:15" ht="15" customHeight="1" x14ac:dyDescent="0.3">
      <c r="A115" s="6" t="s">
        <v>149</v>
      </c>
      <c r="B115" s="6" t="s">
        <v>150</v>
      </c>
      <c r="C115" s="8">
        <v>28.9</v>
      </c>
      <c r="D115" s="8">
        <v>14.5</v>
      </c>
      <c r="E115" s="8">
        <v>40.799999999999997</v>
      </c>
      <c r="F115" s="8">
        <v>39.700000000000003</v>
      </c>
      <c r="G115" s="8">
        <v>39.299999999999997</v>
      </c>
      <c r="H115" s="8">
        <v>36.4</v>
      </c>
      <c r="I115" s="8">
        <v>37.200000000000003</v>
      </c>
      <c r="J115" s="8">
        <v>38.299999999999997</v>
      </c>
      <c r="K115" s="8">
        <v>35.299999999999997</v>
      </c>
      <c r="L115" s="8">
        <v>32.1</v>
      </c>
      <c r="M115" s="8">
        <v>33.200000000000003</v>
      </c>
      <c r="N115" s="8">
        <v>32.9</v>
      </c>
      <c r="O115" s="28">
        <f>IF('Well Summary'!I115&gt;0,'Well Summary'!F115/('Well Summary'!I115/24),0)</f>
        <v>34.581752953367875</v>
      </c>
    </row>
    <row r="116" spans="1:15" ht="15" customHeight="1" x14ac:dyDescent="0.3">
      <c r="A116" s="6" t="s">
        <v>152</v>
      </c>
      <c r="B116" s="6" t="s">
        <v>153</v>
      </c>
      <c r="C116" s="8">
        <v>56.6</v>
      </c>
      <c r="D116" s="8">
        <v>38.799999999999997</v>
      </c>
      <c r="E116" s="8">
        <v>47.3</v>
      </c>
      <c r="F116" s="8">
        <v>28.2</v>
      </c>
      <c r="G116" s="8">
        <v>47.5</v>
      </c>
      <c r="H116" s="8">
        <v>32.5</v>
      </c>
      <c r="I116" s="8">
        <v>26.8</v>
      </c>
      <c r="J116" s="8">
        <v>17.3</v>
      </c>
      <c r="K116" s="8">
        <v>44.1</v>
      </c>
      <c r="L116" s="8">
        <v>44.4</v>
      </c>
      <c r="M116" s="8">
        <v>34</v>
      </c>
      <c r="N116" s="8">
        <v>25.3</v>
      </c>
      <c r="O116" s="28">
        <f>IF('Well Summary'!I116&gt;0,'Well Summary'!F116/('Well Summary'!I116/24),0)</f>
        <v>37.146856385786798</v>
      </c>
    </row>
    <row r="117" spans="1:15" ht="15" customHeight="1" x14ac:dyDescent="0.3">
      <c r="A117" s="6" t="s">
        <v>155</v>
      </c>
      <c r="B117" s="6" t="s">
        <v>156</v>
      </c>
      <c r="C117" s="8">
        <v>39.799999999999997</v>
      </c>
      <c r="D117" s="8">
        <v>40.9</v>
      </c>
      <c r="E117" s="8">
        <v>39.4</v>
      </c>
      <c r="F117" s="8">
        <v>34</v>
      </c>
      <c r="G117" s="8">
        <v>33.799999999999997</v>
      </c>
      <c r="H117" s="8">
        <v>37.6</v>
      </c>
      <c r="I117" s="8">
        <v>29.8</v>
      </c>
      <c r="J117" s="8">
        <v>23.7</v>
      </c>
      <c r="K117" s="8">
        <v>26.6</v>
      </c>
      <c r="L117" s="8">
        <v>33</v>
      </c>
      <c r="M117" s="8">
        <v>32.1</v>
      </c>
      <c r="N117" s="8">
        <v>30.6</v>
      </c>
      <c r="O117" s="28">
        <f>IF('Well Summary'!I117&gt;0,'Well Summary'!F117/('Well Summary'!I117/24),0)</f>
        <v>33.396253150684927</v>
      </c>
    </row>
    <row r="118" spans="1:15" ht="15" customHeight="1" x14ac:dyDescent="0.3">
      <c r="A118" s="6" t="s">
        <v>158</v>
      </c>
      <c r="B118" s="6" t="s">
        <v>159</v>
      </c>
      <c r="C118" s="8">
        <v>36</v>
      </c>
      <c r="D118" s="8">
        <v>36.9</v>
      </c>
      <c r="E118" s="8">
        <v>37</v>
      </c>
      <c r="F118" s="8">
        <v>34.700000000000003</v>
      </c>
      <c r="G118" s="8">
        <v>32.5</v>
      </c>
      <c r="H118" s="8">
        <v>31.3</v>
      </c>
      <c r="I118" s="8">
        <v>33.299999999999997</v>
      </c>
      <c r="J118" s="8">
        <v>31.2</v>
      </c>
      <c r="K118" s="8">
        <v>32</v>
      </c>
      <c r="L118" s="8">
        <v>34.6</v>
      </c>
      <c r="M118" s="8">
        <v>32.5</v>
      </c>
      <c r="N118" s="8">
        <v>33.799999999999997</v>
      </c>
      <c r="O118" s="28">
        <f>IF('Well Summary'!I118&gt;0,'Well Summary'!F118/('Well Summary'!I118/24),0)</f>
        <v>33.781773233784406</v>
      </c>
    </row>
    <row r="119" spans="1:15" ht="15" customHeight="1" x14ac:dyDescent="0.3">
      <c r="A119" s="6" t="s">
        <v>404</v>
      </c>
      <c r="B119" s="6" t="s">
        <v>392</v>
      </c>
      <c r="C119" s="8">
        <v>39.299999999999997</v>
      </c>
      <c r="D119" s="8">
        <v>37.4</v>
      </c>
      <c r="E119" s="8">
        <v>36.9</v>
      </c>
      <c r="F119" s="8">
        <v>35.799999999999997</v>
      </c>
      <c r="G119" s="8">
        <v>34.200000000000003</v>
      </c>
      <c r="H119" s="8">
        <v>36.5</v>
      </c>
      <c r="I119" s="8">
        <v>15.7</v>
      </c>
      <c r="J119" s="8">
        <v>41.9</v>
      </c>
      <c r="K119" s="8">
        <v>42.7</v>
      </c>
      <c r="L119" s="8">
        <v>36.5</v>
      </c>
      <c r="M119" s="8">
        <v>30.5</v>
      </c>
      <c r="N119" s="8">
        <v>29.1</v>
      </c>
      <c r="O119" s="28">
        <f>IF('Well Summary'!I119&gt;0,'Well Summary'!F119/('Well Summary'!I119/24),0)</f>
        <v>36.237210972117552</v>
      </c>
    </row>
    <row r="120" spans="1:15" ht="15" customHeight="1" x14ac:dyDescent="0.3">
      <c r="A120" s="6" t="s">
        <v>161</v>
      </c>
      <c r="B120" s="6" t="s">
        <v>120</v>
      </c>
      <c r="C120" s="8">
        <v>41.1</v>
      </c>
      <c r="D120" s="8">
        <v>41.7</v>
      </c>
      <c r="E120" s="8">
        <v>36.700000000000003</v>
      </c>
      <c r="F120" s="8">
        <v>30.5</v>
      </c>
      <c r="G120" s="8">
        <v>34.200000000000003</v>
      </c>
      <c r="H120" s="8">
        <v>34.5</v>
      </c>
      <c r="I120" s="8">
        <v>33.4</v>
      </c>
      <c r="J120" s="8">
        <v>32.6</v>
      </c>
      <c r="K120" s="8">
        <v>28.4</v>
      </c>
      <c r="L120" s="8">
        <v>29</v>
      </c>
      <c r="M120" s="8">
        <v>25.5</v>
      </c>
      <c r="N120" s="8">
        <v>22.1</v>
      </c>
      <c r="O120" s="28">
        <f>IF('Well Summary'!I120&gt;0,'Well Summary'!F120/('Well Summary'!I120/24),0)</f>
        <v>32.424703047091413</v>
      </c>
    </row>
    <row r="121" spans="1:15" ht="15" customHeight="1" x14ac:dyDescent="0.3">
      <c r="A121" s="6" t="s">
        <v>162</v>
      </c>
      <c r="B121" s="6" t="s">
        <v>163</v>
      </c>
      <c r="C121" s="8">
        <v>31.3</v>
      </c>
      <c r="D121" s="8">
        <v>27.7</v>
      </c>
      <c r="E121" s="8">
        <v>24.5</v>
      </c>
      <c r="F121" s="8">
        <v>27.3</v>
      </c>
      <c r="G121" s="8">
        <v>29.2</v>
      </c>
      <c r="H121" s="8">
        <v>30</v>
      </c>
      <c r="I121" s="8">
        <v>28.1</v>
      </c>
      <c r="J121" s="8">
        <v>55.9</v>
      </c>
      <c r="K121" s="8">
        <v>38.700000000000003</v>
      </c>
      <c r="L121" s="8">
        <v>31.2</v>
      </c>
      <c r="M121" s="8">
        <v>34.299999999999997</v>
      </c>
      <c r="N121" s="8">
        <v>28.8</v>
      </c>
      <c r="O121" s="28">
        <f>IF('Well Summary'!I121&gt;0,'Well Summary'!F121/('Well Summary'!I121/24),0)</f>
        <v>32.30775498154982</v>
      </c>
    </row>
    <row r="122" spans="1:15" ht="15" customHeight="1" x14ac:dyDescent="0.3">
      <c r="A122" s="6" t="s">
        <v>165</v>
      </c>
      <c r="B122" s="6" t="s">
        <v>89</v>
      </c>
      <c r="C122" s="8">
        <v>39.6</v>
      </c>
      <c r="D122" s="8">
        <v>41.1</v>
      </c>
      <c r="E122" s="8">
        <v>41.1</v>
      </c>
      <c r="F122" s="8">
        <v>49.2</v>
      </c>
      <c r="G122" s="8">
        <v>47</v>
      </c>
      <c r="H122" s="8">
        <v>37.1</v>
      </c>
      <c r="I122" s="8">
        <v>30.6</v>
      </c>
      <c r="J122" s="8">
        <v>29.3</v>
      </c>
      <c r="K122" s="8">
        <v>28.3</v>
      </c>
      <c r="L122" s="8">
        <v>23.7</v>
      </c>
      <c r="M122" s="8">
        <v>34</v>
      </c>
      <c r="N122" s="8">
        <v>30.2</v>
      </c>
      <c r="O122" s="28">
        <f>IF('Well Summary'!I122&gt;0,'Well Summary'!F122/('Well Summary'!I122/24),0)</f>
        <v>35.308588219143253</v>
      </c>
    </row>
    <row r="123" spans="1:15" ht="15" customHeight="1" x14ac:dyDescent="0.3">
      <c r="A123" s="6" t="s">
        <v>166</v>
      </c>
      <c r="B123" s="6" t="s">
        <v>153</v>
      </c>
      <c r="C123" s="8">
        <v>28.7</v>
      </c>
      <c r="D123" s="8">
        <v>36.5</v>
      </c>
      <c r="E123" s="8">
        <v>55.5</v>
      </c>
      <c r="F123" s="8">
        <v>31</v>
      </c>
      <c r="G123" s="8">
        <v>31.7</v>
      </c>
      <c r="H123" s="8">
        <v>29.5</v>
      </c>
      <c r="I123" s="8">
        <v>41.1</v>
      </c>
      <c r="J123" s="8">
        <v>29</v>
      </c>
      <c r="K123" s="8">
        <v>41.2</v>
      </c>
      <c r="L123" s="8">
        <v>40.700000000000003</v>
      </c>
      <c r="M123" s="8">
        <v>35.200000000000003</v>
      </c>
      <c r="N123" s="8">
        <v>25.8</v>
      </c>
      <c r="O123" s="28">
        <f>IF('Well Summary'!I123&gt;0,'Well Summary'!F123/('Well Summary'!I123/24),0)</f>
        <v>36.169066524916936</v>
      </c>
    </row>
    <row r="124" spans="1:15" ht="15" customHeight="1" x14ac:dyDescent="0.3">
      <c r="A124" s="6" t="s">
        <v>373</v>
      </c>
      <c r="B124" s="6" t="s">
        <v>371</v>
      </c>
      <c r="C124" s="8"/>
      <c r="D124" s="8"/>
      <c r="E124" s="8">
        <v>55.6</v>
      </c>
      <c r="F124" s="8">
        <v>72.2</v>
      </c>
      <c r="G124" s="8">
        <v>41</v>
      </c>
      <c r="H124" s="8">
        <v>44.7</v>
      </c>
      <c r="I124" s="8">
        <v>32.1</v>
      </c>
      <c r="J124" s="8">
        <v>44.1</v>
      </c>
      <c r="K124" s="8">
        <v>25.9</v>
      </c>
      <c r="L124" s="8">
        <v>26.4</v>
      </c>
      <c r="M124" s="8">
        <v>31.7</v>
      </c>
      <c r="N124" s="8">
        <v>28.3</v>
      </c>
      <c r="O124" s="28">
        <f>IF('Well Summary'!I124&gt;0,'Well Summary'!F124/('Well Summary'!I124/24),0)</f>
        <v>39.19569320930232</v>
      </c>
    </row>
    <row r="125" spans="1:15" ht="15" customHeight="1" x14ac:dyDescent="0.3">
      <c r="A125" s="6" t="s">
        <v>405</v>
      </c>
      <c r="B125" s="6" t="s">
        <v>406</v>
      </c>
      <c r="C125" s="8"/>
      <c r="D125" s="8">
        <v>130.80000000000001</v>
      </c>
      <c r="E125" s="8">
        <v>107.8</v>
      </c>
      <c r="F125" s="8"/>
      <c r="G125" s="8"/>
      <c r="H125" s="8"/>
      <c r="I125" s="8"/>
      <c r="J125" s="8"/>
      <c r="K125" s="8"/>
      <c r="L125" s="8"/>
      <c r="M125" s="8">
        <v>150</v>
      </c>
      <c r="N125" s="8">
        <v>113.9</v>
      </c>
      <c r="O125" s="28">
        <f>IF('Well Summary'!I125&gt;0,'Well Summary'!F125/('Well Summary'!I125/24),0)</f>
        <v>121.96517530864196</v>
      </c>
    </row>
    <row r="126" spans="1:15" ht="15" customHeight="1" x14ac:dyDescent="0.3">
      <c r="A126" s="6" t="s">
        <v>167</v>
      </c>
      <c r="B126" s="6" t="s">
        <v>89</v>
      </c>
      <c r="C126" s="8">
        <v>34.5</v>
      </c>
      <c r="D126" s="8">
        <v>28.8</v>
      </c>
      <c r="E126" s="8">
        <v>26.3</v>
      </c>
      <c r="F126" s="8">
        <v>26.6</v>
      </c>
      <c r="G126" s="8">
        <v>26.7</v>
      </c>
      <c r="H126" s="8">
        <v>30.5</v>
      </c>
      <c r="I126" s="8">
        <v>29.5</v>
      </c>
      <c r="J126" s="8">
        <v>30</v>
      </c>
      <c r="K126" s="8">
        <v>30.2</v>
      </c>
      <c r="L126" s="8">
        <v>37.4</v>
      </c>
      <c r="M126" s="8">
        <v>38</v>
      </c>
      <c r="N126" s="8">
        <v>25.2</v>
      </c>
      <c r="O126" s="28">
        <f>IF('Well Summary'!I126&gt;0,'Well Summary'!F126/('Well Summary'!I126/24),0)</f>
        <v>30.298235308670254</v>
      </c>
    </row>
    <row r="127" spans="1:15" ht="15" customHeight="1" x14ac:dyDescent="0.3">
      <c r="A127" s="6" t="s">
        <v>168</v>
      </c>
      <c r="B127" s="6" t="s">
        <v>169</v>
      </c>
      <c r="C127" s="8">
        <v>35.4</v>
      </c>
      <c r="D127" s="8">
        <v>35.1</v>
      </c>
      <c r="E127" s="8">
        <v>36</v>
      </c>
      <c r="F127" s="8">
        <v>37.799999999999997</v>
      </c>
      <c r="G127" s="8">
        <v>27.3</v>
      </c>
      <c r="H127" s="8">
        <v>27.8</v>
      </c>
      <c r="I127" s="8">
        <v>26.6</v>
      </c>
      <c r="J127" s="8">
        <v>34.700000000000003</v>
      </c>
      <c r="K127" s="8">
        <v>35</v>
      </c>
      <c r="L127" s="8">
        <v>26.6</v>
      </c>
      <c r="M127" s="8">
        <v>26.2</v>
      </c>
      <c r="N127" s="8">
        <v>27.1</v>
      </c>
      <c r="O127" s="28">
        <f>IF('Well Summary'!I127&gt;0,'Well Summary'!F127/('Well Summary'!I127/24),0)</f>
        <v>31.084341087504498</v>
      </c>
    </row>
    <row r="128" spans="1:15" ht="15" customHeight="1" x14ac:dyDescent="0.3">
      <c r="A128" s="6" t="s">
        <v>171</v>
      </c>
      <c r="B128" s="6" t="s">
        <v>89</v>
      </c>
      <c r="C128" s="8">
        <v>30.4</v>
      </c>
      <c r="D128" s="8">
        <v>29.9</v>
      </c>
      <c r="E128" s="8">
        <v>30.7</v>
      </c>
      <c r="F128" s="8">
        <v>30.6</v>
      </c>
      <c r="G128" s="8">
        <v>30.9</v>
      </c>
      <c r="H128" s="8">
        <v>25.1</v>
      </c>
      <c r="I128" s="8">
        <v>22.6</v>
      </c>
      <c r="J128" s="8">
        <v>29.8</v>
      </c>
      <c r="K128" s="8">
        <v>36.4</v>
      </c>
      <c r="L128" s="8">
        <v>37.6</v>
      </c>
      <c r="M128" s="8">
        <v>43.6</v>
      </c>
      <c r="N128" s="8">
        <v>41.9</v>
      </c>
      <c r="O128" s="28">
        <f>IF('Well Summary'!I128&gt;0,'Well Summary'!F128/('Well Summary'!I128/24),0)</f>
        <v>32.779335344062851</v>
      </c>
    </row>
    <row r="129" spans="1:15" ht="15" customHeight="1" x14ac:dyDescent="0.3">
      <c r="A129" s="6" t="s">
        <v>172</v>
      </c>
      <c r="B129" s="6" t="s">
        <v>173</v>
      </c>
      <c r="C129" s="8">
        <v>39.9</v>
      </c>
      <c r="D129" s="8">
        <v>41.6</v>
      </c>
      <c r="E129" s="8">
        <v>28.5</v>
      </c>
      <c r="F129" s="8">
        <v>24.4</v>
      </c>
      <c r="G129" s="8">
        <v>18.899999999999999</v>
      </c>
      <c r="H129" s="8">
        <v>29.5</v>
      </c>
      <c r="I129" s="8">
        <v>41.6</v>
      </c>
      <c r="J129" s="8">
        <v>36.9</v>
      </c>
      <c r="K129" s="8">
        <v>37</v>
      </c>
      <c r="L129" s="8">
        <v>37.6</v>
      </c>
      <c r="M129" s="8">
        <v>13.8</v>
      </c>
      <c r="N129" s="8">
        <v>12.3</v>
      </c>
      <c r="O129" s="28">
        <f>IF('Well Summary'!I129&gt;0,'Well Summary'!F129/('Well Summary'!I129/24),0)</f>
        <v>29.963761512605043</v>
      </c>
    </row>
    <row r="130" spans="1:15" ht="15" customHeight="1" x14ac:dyDescent="0.3">
      <c r="A130" s="6" t="s">
        <v>175</v>
      </c>
      <c r="B130" s="6" t="s">
        <v>150</v>
      </c>
      <c r="C130" s="8">
        <v>56.5</v>
      </c>
      <c r="D130" s="8">
        <v>35.4</v>
      </c>
      <c r="E130" s="8">
        <v>55.3</v>
      </c>
      <c r="F130" s="8">
        <v>18</v>
      </c>
      <c r="G130" s="8">
        <v>21.6</v>
      </c>
      <c r="H130" s="8">
        <v>33.4</v>
      </c>
      <c r="I130" s="8">
        <v>39.6</v>
      </c>
      <c r="J130" s="8">
        <v>10.8</v>
      </c>
      <c r="K130" s="8">
        <v>31.2</v>
      </c>
      <c r="L130" s="8">
        <v>19.100000000000001</v>
      </c>
      <c r="M130" s="8">
        <v>19.8</v>
      </c>
      <c r="N130" s="8">
        <v>22.5</v>
      </c>
      <c r="O130" s="28">
        <f>IF('Well Summary'!I130&gt;0,'Well Summary'!F130/('Well Summary'!I130/24),0)</f>
        <v>30.349940210526317</v>
      </c>
    </row>
    <row r="131" spans="1:15" ht="15" customHeight="1" x14ac:dyDescent="0.3">
      <c r="A131" s="6" t="s">
        <v>374</v>
      </c>
      <c r="B131" s="6" t="s">
        <v>375</v>
      </c>
      <c r="C131" s="8">
        <v>14.1</v>
      </c>
      <c r="D131" s="8">
        <v>4.5</v>
      </c>
      <c r="E131" s="8">
        <v>14.1</v>
      </c>
      <c r="F131" s="8">
        <v>40.700000000000003</v>
      </c>
      <c r="G131" s="8">
        <v>38.799999999999997</v>
      </c>
      <c r="H131" s="8">
        <v>34.299999999999997</v>
      </c>
      <c r="I131" s="8">
        <v>31.7</v>
      </c>
      <c r="J131" s="8">
        <v>31.3</v>
      </c>
      <c r="K131" s="8">
        <v>31.3</v>
      </c>
      <c r="L131" s="8">
        <v>33.1</v>
      </c>
      <c r="M131" s="8">
        <v>55.2</v>
      </c>
      <c r="N131" s="8">
        <v>32.9</v>
      </c>
      <c r="O131" s="28">
        <f>IF('Well Summary'!I131&gt;0,'Well Summary'!F131/('Well Summary'!I131/24),0)</f>
        <v>32.69130886469673</v>
      </c>
    </row>
    <row r="132" spans="1:15" ht="15" customHeight="1" x14ac:dyDescent="0.3">
      <c r="A132" s="6" t="s">
        <v>176</v>
      </c>
      <c r="B132" s="6" t="s">
        <v>138</v>
      </c>
      <c r="C132" s="8">
        <v>33.9</v>
      </c>
      <c r="D132" s="8">
        <v>33.9</v>
      </c>
      <c r="E132" s="8">
        <v>32.5</v>
      </c>
      <c r="F132" s="8">
        <v>30</v>
      </c>
      <c r="G132" s="8">
        <v>32.1</v>
      </c>
      <c r="H132" s="8">
        <v>27.7</v>
      </c>
      <c r="I132" s="8">
        <v>25.4</v>
      </c>
      <c r="J132" s="8">
        <v>20.6</v>
      </c>
      <c r="K132" s="8">
        <v>27.5</v>
      </c>
      <c r="L132" s="8">
        <v>27.4</v>
      </c>
      <c r="M132" s="8">
        <v>24</v>
      </c>
      <c r="N132" s="8">
        <v>23.4</v>
      </c>
      <c r="O132" s="28">
        <f>IF('Well Summary'!I132&gt;0,'Well Summary'!F132/('Well Summary'!I132/24),0)</f>
        <v>28.172903920538875</v>
      </c>
    </row>
    <row r="133" spans="1:15" ht="15" customHeight="1" x14ac:dyDescent="0.3">
      <c r="A133" s="6" t="s">
        <v>467</v>
      </c>
      <c r="B133" s="6" t="s">
        <v>468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>
        <v>218.6</v>
      </c>
      <c r="N133" s="8">
        <v>164.3</v>
      </c>
      <c r="O133" s="28">
        <f>IF('Well Summary'!I133&gt;0,'Well Summary'!F133/('Well Summary'!I133/24),0)</f>
        <v>188.00365609756099</v>
      </c>
    </row>
    <row r="134" spans="1:15" ht="15" customHeight="1" x14ac:dyDescent="0.3">
      <c r="A134" s="6" t="s">
        <v>177</v>
      </c>
      <c r="B134" s="6" t="s">
        <v>38</v>
      </c>
      <c r="C134" s="8">
        <v>29.6</v>
      </c>
      <c r="D134" s="8">
        <v>29.1</v>
      </c>
      <c r="E134" s="8">
        <v>28.3</v>
      </c>
      <c r="F134" s="8">
        <v>32.4</v>
      </c>
      <c r="G134" s="8">
        <v>31</v>
      </c>
      <c r="H134" s="8">
        <v>28.3</v>
      </c>
      <c r="I134" s="8">
        <v>25.8</v>
      </c>
      <c r="J134" s="8">
        <v>28.2</v>
      </c>
      <c r="K134" s="8">
        <v>50.7</v>
      </c>
      <c r="L134" s="8">
        <v>38.299999999999997</v>
      </c>
      <c r="M134" s="8">
        <v>18.7</v>
      </c>
      <c r="N134" s="8">
        <v>13.1</v>
      </c>
      <c r="O134" s="28">
        <f>IF('Well Summary'!I134&gt;0,'Well Summary'!F134/('Well Summary'!I134/24),0)</f>
        <v>29.488796842860555</v>
      </c>
    </row>
    <row r="135" spans="1:15" ht="15" customHeight="1" x14ac:dyDescent="0.3">
      <c r="A135" s="6" t="s">
        <v>178</v>
      </c>
      <c r="B135" s="6" t="s">
        <v>68</v>
      </c>
      <c r="C135" s="8">
        <v>30.9</v>
      </c>
      <c r="D135" s="8">
        <v>31.1</v>
      </c>
      <c r="E135" s="8">
        <v>31.5</v>
      </c>
      <c r="F135" s="8">
        <v>30.9</v>
      </c>
      <c r="G135" s="8">
        <v>30.5</v>
      </c>
      <c r="H135" s="8">
        <v>29.1</v>
      </c>
      <c r="I135" s="8">
        <v>26.5</v>
      </c>
      <c r="J135" s="8">
        <v>26</v>
      </c>
      <c r="K135" s="8">
        <v>26.9</v>
      </c>
      <c r="L135" s="8">
        <v>27.4</v>
      </c>
      <c r="M135" s="8">
        <v>26.2</v>
      </c>
      <c r="N135" s="8">
        <v>19.100000000000001</v>
      </c>
      <c r="O135" s="28">
        <f>IF('Well Summary'!I135&gt;0,'Well Summary'!F135/('Well Summary'!I135/24),0)</f>
        <v>27.973599469168288</v>
      </c>
    </row>
    <row r="136" spans="1:15" ht="15" customHeight="1" x14ac:dyDescent="0.3">
      <c r="A136" s="6" t="s">
        <v>179</v>
      </c>
      <c r="B136" s="6" t="s">
        <v>169</v>
      </c>
      <c r="C136" s="8">
        <v>25.6</v>
      </c>
      <c r="D136" s="8">
        <v>27.1</v>
      </c>
      <c r="E136" s="8">
        <v>27.8</v>
      </c>
      <c r="F136" s="8">
        <v>32.1</v>
      </c>
      <c r="G136" s="8">
        <v>31.5</v>
      </c>
      <c r="H136" s="8">
        <v>35.4</v>
      </c>
      <c r="I136" s="8">
        <v>30.4</v>
      </c>
      <c r="J136" s="8">
        <v>29.4</v>
      </c>
      <c r="K136" s="8">
        <v>23.7</v>
      </c>
      <c r="L136" s="8">
        <v>22.6</v>
      </c>
      <c r="M136" s="8">
        <v>23.4</v>
      </c>
      <c r="N136" s="8">
        <v>24.2</v>
      </c>
      <c r="O136" s="28">
        <f>IF('Well Summary'!I136&gt;0,'Well Summary'!F136/('Well Summary'!I136/24),0)</f>
        <v>27.828339675043829</v>
      </c>
    </row>
    <row r="137" spans="1:15" ht="15" customHeight="1" x14ac:dyDescent="0.3">
      <c r="A137" s="6" t="s">
        <v>180</v>
      </c>
      <c r="B137" s="6" t="s">
        <v>135</v>
      </c>
      <c r="C137" s="8">
        <v>28.1</v>
      </c>
      <c r="D137" s="8">
        <v>32.6</v>
      </c>
      <c r="E137" s="8">
        <v>33.4</v>
      </c>
      <c r="F137" s="8">
        <v>42.2</v>
      </c>
      <c r="G137" s="8">
        <v>42.3</v>
      </c>
      <c r="H137" s="8">
        <v>32.5</v>
      </c>
      <c r="I137" s="8">
        <v>33.1</v>
      </c>
      <c r="J137" s="8">
        <v>28.4</v>
      </c>
      <c r="K137" s="8">
        <v>25.8</v>
      </c>
      <c r="L137" s="8">
        <v>26.7</v>
      </c>
      <c r="M137" s="8">
        <v>25.7</v>
      </c>
      <c r="N137" s="8">
        <v>26.7</v>
      </c>
      <c r="O137" s="28">
        <f>IF('Well Summary'!I137&gt;0,'Well Summary'!F137/('Well Summary'!I137/24),0)</f>
        <v>30.745561308411208</v>
      </c>
    </row>
    <row r="138" spans="1:15" ht="15" customHeight="1" x14ac:dyDescent="0.3">
      <c r="A138" s="6" t="s">
        <v>181</v>
      </c>
      <c r="B138" s="6" t="s">
        <v>182</v>
      </c>
      <c r="C138" s="8">
        <v>36.799999999999997</v>
      </c>
      <c r="D138" s="8">
        <v>31.3</v>
      </c>
      <c r="E138" s="8">
        <v>25.6</v>
      </c>
      <c r="F138" s="8">
        <v>35.6</v>
      </c>
      <c r="G138" s="8">
        <v>36.4</v>
      </c>
      <c r="H138" s="8">
        <v>32.5</v>
      </c>
      <c r="I138" s="8">
        <v>28.5</v>
      </c>
      <c r="J138" s="8">
        <v>26.2</v>
      </c>
      <c r="K138" s="8">
        <v>22</v>
      </c>
      <c r="L138" s="8">
        <v>22.7</v>
      </c>
      <c r="M138" s="8">
        <v>22.4</v>
      </c>
      <c r="N138" s="8">
        <v>4.7</v>
      </c>
      <c r="O138" s="28">
        <f>IF('Well Summary'!I138&gt;0,'Well Summary'!F138/('Well Summary'!I138/24),0)</f>
        <v>27.097987150259073</v>
      </c>
    </row>
    <row r="139" spans="1:15" ht="15" customHeight="1" x14ac:dyDescent="0.3">
      <c r="A139" s="6" t="s">
        <v>184</v>
      </c>
      <c r="B139" s="6" t="s">
        <v>185</v>
      </c>
      <c r="C139" s="8">
        <v>33.1</v>
      </c>
      <c r="D139" s="8">
        <v>34.1</v>
      </c>
      <c r="E139" s="8">
        <v>34.5</v>
      </c>
      <c r="F139" s="8">
        <v>43.9</v>
      </c>
      <c r="G139" s="8">
        <v>22.5</v>
      </c>
      <c r="H139" s="8">
        <v>19.2</v>
      </c>
      <c r="I139" s="8">
        <v>19.100000000000001</v>
      </c>
      <c r="J139" s="8">
        <v>22.3</v>
      </c>
      <c r="K139" s="8">
        <v>17.8</v>
      </c>
      <c r="L139" s="8">
        <v>18.100000000000001</v>
      </c>
      <c r="M139" s="8">
        <v>24.6</v>
      </c>
      <c r="N139" s="8">
        <v>26.8</v>
      </c>
      <c r="O139" s="28">
        <f>IF('Well Summary'!I139&gt;0,'Well Summary'!F139/('Well Summary'!I139/24),0)</f>
        <v>26.264509645926434</v>
      </c>
    </row>
    <row r="140" spans="1:15" ht="15" customHeight="1" x14ac:dyDescent="0.3">
      <c r="A140" s="6" t="s">
        <v>472</v>
      </c>
      <c r="B140" s="6" t="s">
        <v>468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>
        <v>204.2</v>
      </c>
      <c r="N140" s="8">
        <v>213.4</v>
      </c>
      <c r="O140" s="28">
        <f>IF('Well Summary'!I140&gt;0,'Well Summary'!F140/('Well Summary'!I140/24),0)</f>
        <v>208.35934559999995</v>
      </c>
    </row>
    <row r="141" spans="1:15" ht="15" customHeight="1" x14ac:dyDescent="0.3">
      <c r="A141" s="6" t="s">
        <v>187</v>
      </c>
      <c r="B141" s="6" t="s">
        <v>169</v>
      </c>
      <c r="C141" s="8">
        <v>31.2</v>
      </c>
      <c r="D141" s="8">
        <v>31</v>
      </c>
      <c r="E141" s="8">
        <v>31.8</v>
      </c>
      <c r="F141" s="8">
        <v>28.7</v>
      </c>
      <c r="G141" s="8">
        <v>26.5</v>
      </c>
      <c r="H141" s="8">
        <v>28.5</v>
      </c>
      <c r="I141" s="8">
        <v>25.7</v>
      </c>
      <c r="J141" s="8">
        <v>24.8</v>
      </c>
      <c r="K141" s="8">
        <v>22.5</v>
      </c>
      <c r="L141" s="8">
        <v>22.8</v>
      </c>
      <c r="M141" s="8">
        <v>17.100000000000001</v>
      </c>
      <c r="N141" s="8">
        <v>19.7</v>
      </c>
      <c r="O141" s="28">
        <f>IF('Well Summary'!I141&gt;0,'Well Summary'!F141/('Well Summary'!I141/24),0)</f>
        <v>25.789193316455695</v>
      </c>
    </row>
    <row r="142" spans="1:15" ht="15" customHeight="1" x14ac:dyDescent="0.3">
      <c r="A142" s="6" t="s">
        <v>188</v>
      </c>
      <c r="B142" s="6" t="s">
        <v>132</v>
      </c>
      <c r="C142" s="8">
        <v>21.2</v>
      </c>
      <c r="D142" s="8">
        <v>30</v>
      </c>
      <c r="E142" s="8">
        <v>29.6</v>
      </c>
      <c r="F142" s="8">
        <v>29.2</v>
      </c>
      <c r="G142" s="8">
        <v>25.3</v>
      </c>
      <c r="H142" s="8">
        <v>28.6</v>
      </c>
      <c r="I142" s="8">
        <v>27.1</v>
      </c>
      <c r="J142" s="8">
        <v>25.1</v>
      </c>
      <c r="K142" s="8">
        <v>28.5</v>
      </c>
      <c r="L142" s="8">
        <v>24.3</v>
      </c>
      <c r="M142" s="8">
        <v>19.8</v>
      </c>
      <c r="N142" s="8">
        <v>22.9</v>
      </c>
      <c r="O142" s="28">
        <f>IF('Well Summary'!I142&gt;0,'Well Summary'!F142/('Well Summary'!I142/24),0)</f>
        <v>25.924722761849029</v>
      </c>
    </row>
    <row r="143" spans="1:15" ht="15" customHeight="1" x14ac:dyDescent="0.3">
      <c r="A143" s="6" t="s">
        <v>189</v>
      </c>
      <c r="B143" s="6" t="s">
        <v>38</v>
      </c>
      <c r="C143" s="8">
        <v>33.5</v>
      </c>
      <c r="D143" s="8">
        <v>21.7</v>
      </c>
      <c r="E143" s="8">
        <v>15.2</v>
      </c>
      <c r="F143" s="8">
        <v>27.1</v>
      </c>
      <c r="G143" s="8">
        <v>29.5</v>
      </c>
      <c r="H143" s="8">
        <v>24.6</v>
      </c>
      <c r="I143" s="8">
        <v>30.7</v>
      </c>
      <c r="J143" s="8">
        <v>26.3</v>
      </c>
      <c r="K143" s="8">
        <v>27.5</v>
      </c>
      <c r="L143" s="8">
        <v>27.3</v>
      </c>
      <c r="M143" s="8">
        <v>24.6</v>
      </c>
      <c r="N143" s="8">
        <v>18.399999999999999</v>
      </c>
      <c r="O143" s="28">
        <f>IF('Well Summary'!I143&gt;0,'Well Summary'!F143/('Well Summary'!I143/24),0)</f>
        <v>25.601054583772392</v>
      </c>
    </row>
    <row r="144" spans="1:15" ht="15" customHeight="1" x14ac:dyDescent="0.3">
      <c r="A144" s="6" t="s">
        <v>190</v>
      </c>
      <c r="B144" s="6" t="s">
        <v>85</v>
      </c>
      <c r="C144" s="8">
        <v>28.5</v>
      </c>
      <c r="D144" s="8">
        <v>28.5</v>
      </c>
      <c r="E144" s="8">
        <v>27.1</v>
      </c>
      <c r="F144" s="8">
        <v>27.9</v>
      </c>
      <c r="G144" s="8">
        <v>29.3</v>
      </c>
      <c r="H144" s="8">
        <v>27.1</v>
      </c>
      <c r="I144" s="8">
        <v>25.9</v>
      </c>
      <c r="J144" s="8">
        <v>28</v>
      </c>
      <c r="K144" s="8">
        <v>26.8</v>
      </c>
      <c r="L144" s="8">
        <v>26.9</v>
      </c>
      <c r="M144" s="8">
        <v>25.6</v>
      </c>
      <c r="N144" s="8">
        <v>25.8</v>
      </c>
      <c r="O144" s="28">
        <f>IF('Well Summary'!I144&gt;0,'Well Summary'!F144/('Well Summary'!I144/24),0)</f>
        <v>27.256167226323033</v>
      </c>
    </row>
    <row r="145" spans="1:15" ht="15" customHeight="1" x14ac:dyDescent="0.3">
      <c r="A145" s="6" t="s">
        <v>191</v>
      </c>
      <c r="B145" s="6" t="s">
        <v>192</v>
      </c>
      <c r="C145" s="8">
        <v>39.700000000000003</v>
      </c>
      <c r="D145" s="8">
        <v>35.6</v>
      </c>
      <c r="E145" s="8">
        <v>35.6</v>
      </c>
      <c r="F145" s="8">
        <v>18.7</v>
      </c>
      <c r="G145" s="8">
        <v>21.2</v>
      </c>
      <c r="H145" s="8">
        <v>26.7</v>
      </c>
      <c r="I145" s="8">
        <v>27.2</v>
      </c>
      <c r="J145" s="8">
        <v>25.8</v>
      </c>
      <c r="K145" s="8">
        <v>24.7</v>
      </c>
      <c r="L145" s="8">
        <v>28.9</v>
      </c>
      <c r="M145" s="8">
        <v>14.1</v>
      </c>
      <c r="N145" s="8">
        <v>25.5</v>
      </c>
      <c r="O145" s="28">
        <f>IF('Well Summary'!I145&gt;0,'Well Summary'!F145/('Well Summary'!I145/24),0)</f>
        <v>27.321502100088235</v>
      </c>
    </row>
    <row r="146" spans="1:15" ht="15" customHeight="1" x14ac:dyDescent="0.3">
      <c r="A146" s="6" t="s">
        <v>194</v>
      </c>
      <c r="B146" s="6" t="s">
        <v>195</v>
      </c>
      <c r="C146" s="8">
        <v>27.3</v>
      </c>
      <c r="D146" s="8">
        <v>26.9</v>
      </c>
      <c r="E146" s="8">
        <v>27.2</v>
      </c>
      <c r="F146" s="8">
        <v>17.2</v>
      </c>
      <c r="G146" s="8">
        <v>27.8</v>
      </c>
      <c r="H146" s="8">
        <v>25.9</v>
      </c>
      <c r="I146" s="8">
        <v>26.7</v>
      </c>
      <c r="J146" s="8">
        <v>25</v>
      </c>
      <c r="K146" s="8">
        <v>26.9</v>
      </c>
      <c r="L146" s="8">
        <v>26.8</v>
      </c>
      <c r="M146" s="8">
        <v>29.5</v>
      </c>
      <c r="N146" s="8">
        <v>25.3</v>
      </c>
      <c r="O146" s="28">
        <f>IF('Well Summary'!I146&gt;0,'Well Summary'!F146/('Well Summary'!I146/24),0)</f>
        <v>25.96784543446951</v>
      </c>
    </row>
    <row r="147" spans="1:15" ht="15" customHeight="1" x14ac:dyDescent="0.3">
      <c r="A147" s="6" t="s">
        <v>473</v>
      </c>
      <c r="B147" s="6" t="s">
        <v>468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>
        <v>166.4</v>
      </c>
      <c r="N147" s="8">
        <v>186.6</v>
      </c>
      <c r="O147" s="28">
        <f>IF('Well Summary'!I147&gt;0,'Well Summary'!F147/('Well Summary'!I147/24),0)</f>
        <v>178.76800716417912</v>
      </c>
    </row>
    <row r="148" spans="1:15" ht="15" customHeight="1" x14ac:dyDescent="0.3">
      <c r="A148" s="6" t="s">
        <v>197</v>
      </c>
      <c r="B148" s="6" t="s">
        <v>198</v>
      </c>
      <c r="C148" s="8">
        <v>25.8</v>
      </c>
      <c r="D148" s="8">
        <v>26.8</v>
      </c>
      <c r="E148" s="8">
        <v>36.700000000000003</v>
      </c>
      <c r="F148" s="8">
        <v>32.5</v>
      </c>
      <c r="G148" s="8">
        <v>27.7</v>
      </c>
      <c r="H148" s="8">
        <v>27.6</v>
      </c>
      <c r="I148" s="8">
        <v>25.1</v>
      </c>
      <c r="J148" s="8">
        <v>32.200000000000003</v>
      </c>
      <c r="K148" s="8">
        <v>36.799999999999997</v>
      </c>
      <c r="L148" s="8">
        <v>26.2</v>
      </c>
      <c r="M148" s="8">
        <v>17.3</v>
      </c>
      <c r="N148" s="8">
        <v>17.8</v>
      </c>
      <c r="O148" s="28">
        <f>IF('Well Summary'!I148&gt;0,'Well Summary'!F148/('Well Summary'!I148/24),0)</f>
        <v>27.458993301045115</v>
      </c>
    </row>
    <row r="149" spans="1:15" ht="15" customHeight="1" x14ac:dyDescent="0.3">
      <c r="A149" s="6" t="s">
        <v>200</v>
      </c>
      <c r="B149" s="6" t="s">
        <v>169</v>
      </c>
      <c r="C149" s="8">
        <v>25.5</v>
      </c>
      <c r="D149" s="8">
        <v>26.1</v>
      </c>
      <c r="E149" s="8">
        <v>29.7</v>
      </c>
      <c r="F149" s="8">
        <v>23.8</v>
      </c>
      <c r="G149" s="8">
        <v>29</v>
      </c>
      <c r="H149" s="8">
        <v>29.2</v>
      </c>
      <c r="I149" s="8">
        <v>23.2</v>
      </c>
      <c r="J149" s="8">
        <v>28.9</v>
      </c>
      <c r="K149" s="8">
        <v>23.1</v>
      </c>
      <c r="L149" s="8">
        <v>21.3</v>
      </c>
      <c r="M149" s="8">
        <v>21.8</v>
      </c>
      <c r="N149" s="8">
        <v>22.6</v>
      </c>
      <c r="O149" s="28">
        <f>IF('Well Summary'!I149&gt;0,'Well Summary'!F149/('Well Summary'!I149/24),0)</f>
        <v>25.391721664505482</v>
      </c>
    </row>
    <row r="150" spans="1:15" ht="15" customHeight="1" x14ac:dyDescent="0.3">
      <c r="A150" s="6" t="s">
        <v>201</v>
      </c>
      <c r="B150" s="6" t="s">
        <v>150</v>
      </c>
      <c r="C150" s="8">
        <v>29.4</v>
      </c>
      <c r="D150" s="8">
        <v>33.1</v>
      </c>
      <c r="E150" s="8">
        <v>52.2</v>
      </c>
      <c r="F150" s="8">
        <v>48.5</v>
      </c>
      <c r="G150" s="8">
        <v>42.3</v>
      </c>
      <c r="H150" s="8">
        <v>35.700000000000003</v>
      </c>
      <c r="I150" s="8">
        <v>33.299999999999997</v>
      </c>
      <c r="J150" s="8">
        <v>8.6</v>
      </c>
      <c r="K150" s="8">
        <v>12</v>
      </c>
      <c r="L150" s="8">
        <v>6.8</v>
      </c>
      <c r="M150" s="8">
        <v>2.9</v>
      </c>
      <c r="N150" s="8">
        <v>3.8</v>
      </c>
      <c r="O150" s="28">
        <f>IF('Well Summary'!I150&gt;0,'Well Summary'!F150/('Well Summary'!I150/24),0)</f>
        <v>25.721211994658251</v>
      </c>
    </row>
    <row r="151" spans="1:15" ht="15" customHeight="1" x14ac:dyDescent="0.3">
      <c r="A151" s="6" t="s">
        <v>202</v>
      </c>
      <c r="B151" s="6" t="s">
        <v>85</v>
      </c>
      <c r="C151" s="8">
        <v>26.6</v>
      </c>
      <c r="D151" s="8">
        <v>26.6</v>
      </c>
      <c r="E151" s="8">
        <v>25.4</v>
      </c>
      <c r="F151" s="8">
        <v>26</v>
      </c>
      <c r="G151" s="8">
        <v>27.4</v>
      </c>
      <c r="H151" s="8">
        <v>25.3</v>
      </c>
      <c r="I151" s="8">
        <v>24.2</v>
      </c>
      <c r="J151" s="8">
        <v>26.1</v>
      </c>
      <c r="K151" s="8">
        <v>25</v>
      </c>
      <c r="L151" s="8">
        <v>25.1</v>
      </c>
      <c r="M151" s="8">
        <v>23.9</v>
      </c>
      <c r="N151" s="8">
        <v>24.1</v>
      </c>
      <c r="O151" s="28">
        <f>IF('Well Summary'!I151&gt;0,'Well Summary'!F151/('Well Summary'!I151/24),0)</f>
        <v>25.425283504356244</v>
      </c>
    </row>
    <row r="152" spans="1:15" ht="15" customHeight="1" x14ac:dyDescent="0.3">
      <c r="A152" s="6" t="s">
        <v>203</v>
      </c>
      <c r="B152" s="6" t="s">
        <v>150</v>
      </c>
      <c r="C152" s="8">
        <v>19.399999999999999</v>
      </c>
      <c r="D152" s="8">
        <v>18.600000000000001</v>
      </c>
      <c r="E152" s="8">
        <v>25.2</v>
      </c>
      <c r="F152" s="8">
        <v>50.8</v>
      </c>
      <c r="G152" s="8">
        <v>34.5</v>
      </c>
      <c r="H152" s="8">
        <v>18</v>
      </c>
      <c r="I152" s="8">
        <v>20.399999999999999</v>
      </c>
      <c r="J152" s="8">
        <v>20</v>
      </c>
      <c r="K152" s="8">
        <v>23.1</v>
      </c>
      <c r="L152" s="8">
        <v>22.7</v>
      </c>
      <c r="M152" s="8">
        <v>22.8</v>
      </c>
      <c r="N152" s="8">
        <v>21.2</v>
      </c>
      <c r="O152" s="28">
        <f>IF('Well Summary'!I152&gt;0,'Well Summary'!F152/('Well Summary'!I152/24),0)</f>
        <v>24.877431287222681</v>
      </c>
    </row>
    <row r="153" spans="1:15" ht="15" customHeight="1" x14ac:dyDescent="0.3">
      <c r="A153" s="6" t="s">
        <v>204</v>
      </c>
      <c r="B153" s="6" t="s">
        <v>115</v>
      </c>
      <c r="C153" s="8">
        <v>35.6</v>
      </c>
      <c r="D153" s="8">
        <v>40.5</v>
      </c>
      <c r="E153" s="8">
        <v>25.8</v>
      </c>
      <c r="F153" s="8">
        <v>26.1</v>
      </c>
      <c r="G153" s="8">
        <v>25.4</v>
      </c>
      <c r="H153" s="8">
        <v>20.8</v>
      </c>
      <c r="I153" s="8">
        <v>19.899999999999999</v>
      </c>
      <c r="J153" s="8">
        <v>24.2</v>
      </c>
      <c r="K153" s="8">
        <v>24.2</v>
      </c>
      <c r="L153" s="8">
        <v>24.8</v>
      </c>
      <c r="M153" s="8">
        <v>24</v>
      </c>
      <c r="N153" s="8">
        <v>24</v>
      </c>
      <c r="O153" s="28">
        <f>IF('Well Summary'!I153&gt;0,'Well Summary'!F153/('Well Summary'!I153/24),0)</f>
        <v>25.564399414348461</v>
      </c>
    </row>
    <row r="154" spans="1:15" ht="15" customHeight="1" x14ac:dyDescent="0.3">
      <c r="A154" s="6" t="s">
        <v>205</v>
      </c>
      <c r="B154" s="6" t="s">
        <v>206</v>
      </c>
      <c r="C154" s="8">
        <v>17.100000000000001</v>
      </c>
      <c r="D154" s="8">
        <v>21</v>
      </c>
      <c r="E154" s="8">
        <v>21.9</v>
      </c>
      <c r="F154" s="8">
        <v>22.6</v>
      </c>
      <c r="G154" s="8">
        <v>26.3</v>
      </c>
      <c r="H154" s="8">
        <v>25.8</v>
      </c>
      <c r="I154" s="8">
        <v>25.8</v>
      </c>
      <c r="J154" s="8">
        <v>26.1</v>
      </c>
      <c r="K154" s="8">
        <v>25</v>
      </c>
      <c r="L154" s="8">
        <v>25.1</v>
      </c>
      <c r="M154" s="8">
        <v>26</v>
      </c>
      <c r="N154" s="8">
        <v>23.6</v>
      </c>
      <c r="O154" s="28">
        <f>IF('Well Summary'!I154&gt;0,'Well Summary'!F154/('Well Summary'!I154/24),0)</f>
        <v>23.881098828911252</v>
      </c>
    </row>
    <row r="155" spans="1:15" ht="15" customHeight="1" x14ac:dyDescent="0.3">
      <c r="A155" s="6" t="s">
        <v>208</v>
      </c>
      <c r="B155" s="6" t="s">
        <v>169</v>
      </c>
      <c r="C155" s="8">
        <v>25</v>
      </c>
      <c r="D155" s="8">
        <v>36</v>
      </c>
      <c r="E155" s="8">
        <v>33</v>
      </c>
      <c r="F155" s="8">
        <v>23.4</v>
      </c>
      <c r="G155" s="8">
        <v>26.4</v>
      </c>
      <c r="H155" s="8">
        <v>24</v>
      </c>
      <c r="I155" s="8">
        <v>22.4</v>
      </c>
      <c r="J155" s="8">
        <v>22.2</v>
      </c>
      <c r="K155" s="8">
        <v>18.8</v>
      </c>
      <c r="L155" s="8">
        <v>18.3</v>
      </c>
      <c r="M155" s="8">
        <v>18.7</v>
      </c>
      <c r="N155" s="8">
        <v>19.399999999999999</v>
      </c>
      <c r="O155" s="28">
        <f>IF('Well Summary'!I155&gt;0,'Well Summary'!F155/('Well Summary'!I155/24),0)</f>
        <v>23.837951867677461</v>
      </c>
    </row>
    <row r="156" spans="1:15" ht="15" customHeight="1" x14ac:dyDescent="0.3">
      <c r="A156" s="6" t="s">
        <v>209</v>
      </c>
      <c r="B156" s="6" t="s">
        <v>169</v>
      </c>
      <c r="C156" s="8">
        <v>49.8</v>
      </c>
      <c r="D156" s="8">
        <v>42</v>
      </c>
      <c r="E156" s="8">
        <v>30.8</v>
      </c>
      <c r="F156" s="8">
        <v>20.2</v>
      </c>
      <c r="G156" s="8">
        <v>17.399999999999999</v>
      </c>
      <c r="H156" s="8">
        <v>16.399999999999999</v>
      </c>
      <c r="I156" s="8">
        <v>17.2</v>
      </c>
      <c r="J156" s="8">
        <v>17.3</v>
      </c>
      <c r="K156" s="8">
        <v>21.2</v>
      </c>
      <c r="L156" s="8">
        <v>22.8</v>
      </c>
      <c r="M156" s="8">
        <v>18.600000000000001</v>
      </c>
      <c r="N156" s="8">
        <v>16.8</v>
      </c>
      <c r="O156" s="28">
        <f>IF('Well Summary'!I156&gt;0,'Well Summary'!F156/('Well Summary'!I156/24),0)</f>
        <v>23.918392678530157</v>
      </c>
    </row>
    <row r="157" spans="1:15" ht="15" customHeight="1" x14ac:dyDescent="0.3">
      <c r="A157" s="6" t="s">
        <v>210</v>
      </c>
      <c r="B157" s="6" t="s">
        <v>65</v>
      </c>
      <c r="C157" s="8">
        <v>57.1</v>
      </c>
      <c r="D157" s="8">
        <v>50.4</v>
      </c>
      <c r="E157" s="8">
        <v>32.1</v>
      </c>
      <c r="F157" s="8">
        <v>13.9</v>
      </c>
      <c r="G157" s="8">
        <v>15.6</v>
      </c>
      <c r="H157" s="8">
        <v>12.9</v>
      </c>
      <c r="I157" s="8">
        <v>14.5</v>
      </c>
      <c r="J157" s="8">
        <v>13.9</v>
      </c>
      <c r="K157" s="8">
        <v>21</v>
      </c>
      <c r="L157" s="8">
        <v>24.3</v>
      </c>
      <c r="M157" s="8">
        <v>23.8</v>
      </c>
      <c r="N157" s="8">
        <v>25.8</v>
      </c>
      <c r="O157" s="28">
        <f>IF('Well Summary'!I157&gt;0,'Well Summary'!F157/('Well Summary'!I157/24),0)</f>
        <v>24.394388822279915</v>
      </c>
    </row>
    <row r="158" spans="1:15" ht="15" customHeight="1" x14ac:dyDescent="0.3">
      <c r="A158" s="6" t="s">
        <v>211</v>
      </c>
      <c r="B158" s="6" t="s">
        <v>212</v>
      </c>
      <c r="C158" s="8">
        <v>29.4</v>
      </c>
      <c r="D158" s="8">
        <v>28.6</v>
      </c>
      <c r="E158" s="8">
        <v>27.6</v>
      </c>
      <c r="F158" s="8">
        <v>25</v>
      </c>
      <c r="G158" s="8">
        <v>20.5</v>
      </c>
      <c r="H158" s="8">
        <v>20.9</v>
      </c>
      <c r="I158" s="8">
        <v>20</v>
      </c>
      <c r="J158" s="8">
        <v>19.600000000000001</v>
      </c>
      <c r="K158" s="8">
        <v>24.3</v>
      </c>
      <c r="L158" s="8">
        <v>51.9</v>
      </c>
      <c r="M158" s="8">
        <v>17.8</v>
      </c>
      <c r="N158" s="8">
        <v>10.4</v>
      </c>
      <c r="O158" s="28">
        <f>IF('Well Summary'!I158&gt;0,'Well Summary'!F158/('Well Summary'!I158/24),0)</f>
        <v>25.030448281461439</v>
      </c>
    </row>
    <row r="159" spans="1:15" ht="15" customHeight="1" x14ac:dyDescent="0.3">
      <c r="A159" s="6" t="s">
        <v>214</v>
      </c>
      <c r="B159" s="6" t="s">
        <v>215</v>
      </c>
      <c r="C159" s="8">
        <v>27.1</v>
      </c>
      <c r="D159" s="8">
        <v>26.1</v>
      </c>
      <c r="E159" s="8">
        <v>24.5</v>
      </c>
      <c r="F159" s="8">
        <v>25.6</v>
      </c>
      <c r="G159" s="8">
        <v>26.4</v>
      </c>
      <c r="H159" s="8">
        <v>24.7</v>
      </c>
      <c r="I159" s="8">
        <v>26.4</v>
      </c>
      <c r="J159" s="8">
        <v>28.8</v>
      </c>
      <c r="K159" s="8">
        <v>27.7</v>
      </c>
      <c r="L159" s="8">
        <v>23.6</v>
      </c>
      <c r="M159" s="8">
        <v>19.100000000000001</v>
      </c>
      <c r="N159" s="8">
        <v>5.8</v>
      </c>
      <c r="O159" s="28">
        <f>IF('Well Summary'!I159&gt;0,'Well Summary'!F159/('Well Summary'!I159/24),0)</f>
        <v>23.995995428571426</v>
      </c>
    </row>
    <row r="160" spans="1:15" ht="15" customHeight="1" x14ac:dyDescent="0.3">
      <c r="A160" s="6" t="s">
        <v>216</v>
      </c>
      <c r="B160" s="6" t="s">
        <v>217</v>
      </c>
      <c r="C160" s="8">
        <v>32.5</v>
      </c>
      <c r="D160" s="8">
        <v>29</v>
      </c>
      <c r="E160" s="8">
        <v>27.2</v>
      </c>
      <c r="F160" s="8">
        <v>26.7</v>
      </c>
      <c r="G160" s="8">
        <v>27</v>
      </c>
      <c r="H160" s="8">
        <v>12.5</v>
      </c>
      <c r="I160" s="8">
        <v>22.6</v>
      </c>
      <c r="J160" s="8">
        <v>20.399999999999999</v>
      </c>
      <c r="K160" s="8">
        <v>22.6</v>
      </c>
      <c r="L160" s="8">
        <v>24.4</v>
      </c>
      <c r="M160" s="8">
        <v>13.6</v>
      </c>
      <c r="N160" s="8">
        <v>17.600000000000001</v>
      </c>
      <c r="O160" s="28">
        <f>IF('Well Summary'!I160&gt;0,'Well Summary'!F160/('Well Summary'!I160/24),0)</f>
        <v>23.119594951456307</v>
      </c>
    </row>
    <row r="161" spans="1:15" ht="15" customHeight="1" x14ac:dyDescent="0.3">
      <c r="A161" s="6" t="s">
        <v>219</v>
      </c>
      <c r="B161" s="6" t="s">
        <v>138</v>
      </c>
      <c r="C161" s="8">
        <v>17</v>
      </c>
      <c r="D161" s="8">
        <v>31.7</v>
      </c>
      <c r="E161" s="8">
        <v>34.299999999999997</v>
      </c>
      <c r="F161" s="8">
        <v>29.3</v>
      </c>
      <c r="G161" s="8">
        <v>31</v>
      </c>
      <c r="H161" s="8">
        <v>30.4</v>
      </c>
      <c r="I161" s="8">
        <v>24</v>
      </c>
      <c r="J161" s="8">
        <v>12.5</v>
      </c>
      <c r="K161" s="8">
        <v>18</v>
      </c>
      <c r="L161" s="8">
        <v>20.7</v>
      </c>
      <c r="M161" s="8">
        <v>14.7</v>
      </c>
      <c r="N161" s="8">
        <v>12</v>
      </c>
      <c r="O161" s="28">
        <f>IF('Well Summary'!I161&gt;0,'Well Summary'!F161/('Well Summary'!I161/24),0)</f>
        <v>22.862832340815395</v>
      </c>
    </row>
    <row r="162" spans="1:15" ht="15" customHeight="1" x14ac:dyDescent="0.3">
      <c r="A162" s="6" t="s">
        <v>220</v>
      </c>
      <c r="B162" s="6" t="s">
        <v>115</v>
      </c>
      <c r="C162" s="8">
        <v>28.4</v>
      </c>
      <c r="D162" s="8">
        <v>33</v>
      </c>
      <c r="E162" s="8">
        <v>28</v>
      </c>
      <c r="F162" s="8">
        <v>14.7</v>
      </c>
      <c r="G162" s="8">
        <v>14.4</v>
      </c>
      <c r="H162" s="8">
        <v>14.8</v>
      </c>
      <c r="I162" s="8">
        <v>22.1</v>
      </c>
      <c r="J162" s="8">
        <v>25.5</v>
      </c>
      <c r="K162" s="8">
        <v>24.2</v>
      </c>
      <c r="L162" s="8">
        <v>29.3</v>
      </c>
      <c r="M162" s="8">
        <v>30</v>
      </c>
      <c r="N162" s="8">
        <v>30</v>
      </c>
      <c r="O162" s="28">
        <f>IF('Well Summary'!I162&gt;0,'Well Summary'!F162/('Well Summary'!I162/24),0)</f>
        <v>24.167830577971642</v>
      </c>
    </row>
    <row r="163" spans="1:15" ht="15" customHeight="1" x14ac:dyDescent="0.3">
      <c r="A163" s="6" t="s">
        <v>221</v>
      </c>
      <c r="B163" s="6" t="s">
        <v>206</v>
      </c>
      <c r="C163" s="8">
        <v>21.1</v>
      </c>
      <c r="D163" s="8">
        <v>20.3</v>
      </c>
      <c r="E163" s="8">
        <v>24.6</v>
      </c>
      <c r="F163" s="8">
        <v>26.5</v>
      </c>
      <c r="G163" s="8">
        <v>25.6</v>
      </c>
      <c r="H163" s="8">
        <v>20.2</v>
      </c>
      <c r="I163" s="8">
        <v>18.399999999999999</v>
      </c>
      <c r="J163" s="8">
        <v>19.399999999999999</v>
      </c>
      <c r="K163" s="8">
        <v>19.600000000000001</v>
      </c>
      <c r="L163" s="8">
        <v>25.6</v>
      </c>
      <c r="M163" s="8">
        <v>25.2</v>
      </c>
      <c r="N163" s="8">
        <v>24.9</v>
      </c>
      <c r="O163" s="28">
        <f>IF('Well Summary'!I163&gt;0,'Well Summary'!F163/('Well Summary'!I163/24),0)</f>
        <v>22.632926419753083</v>
      </c>
    </row>
    <row r="164" spans="1:15" ht="15" customHeight="1" x14ac:dyDescent="0.3">
      <c r="A164" s="6" t="s">
        <v>222</v>
      </c>
      <c r="B164" s="6" t="s">
        <v>159</v>
      </c>
      <c r="C164" s="8">
        <v>19.399999999999999</v>
      </c>
      <c r="D164" s="8">
        <v>24.2</v>
      </c>
      <c r="E164" s="8">
        <v>25.1</v>
      </c>
      <c r="F164" s="8">
        <v>24</v>
      </c>
      <c r="G164" s="8">
        <v>23.1</v>
      </c>
      <c r="H164" s="8">
        <v>27.2</v>
      </c>
      <c r="I164" s="8">
        <v>23.6</v>
      </c>
      <c r="J164" s="8">
        <v>22.8</v>
      </c>
      <c r="K164" s="8">
        <v>23.7</v>
      </c>
      <c r="L164" s="8">
        <v>22.5</v>
      </c>
      <c r="M164" s="8">
        <v>18.3</v>
      </c>
      <c r="N164" s="8">
        <v>21</v>
      </c>
      <c r="O164" s="28">
        <f>IF('Well Summary'!I164&gt;0,'Well Summary'!F164/('Well Summary'!I164/24),0)</f>
        <v>22.974251294117646</v>
      </c>
    </row>
    <row r="165" spans="1:15" ht="15" customHeight="1" x14ac:dyDescent="0.3">
      <c r="A165" s="6" t="s">
        <v>223</v>
      </c>
      <c r="B165" s="6" t="s">
        <v>169</v>
      </c>
      <c r="C165" s="8">
        <v>24.5</v>
      </c>
      <c r="D165" s="8">
        <v>25</v>
      </c>
      <c r="E165" s="8">
        <v>25.6</v>
      </c>
      <c r="F165" s="8">
        <v>20</v>
      </c>
      <c r="G165" s="8">
        <v>22.1</v>
      </c>
      <c r="H165" s="8">
        <v>21.9</v>
      </c>
      <c r="I165" s="8">
        <v>24.6</v>
      </c>
      <c r="J165" s="8">
        <v>22.1</v>
      </c>
      <c r="K165" s="8">
        <v>18.3</v>
      </c>
      <c r="L165" s="8">
        <v>18.3</v>
      </c>
      <c r="M165" s="8">
        <v>23.4</v>
      </c>
      <c r="N165" s="8">
        <v>24.2</v>
      </c>
      <c r="O165" s="28">
        <f>IF('Well Summary'!I165&gt;0,'Well Summary'!F165/('Well Summary'!I165/24),0)</f>
        <v>22.573564924587863</v>
      </c>
    </row>
    <row r="166" spans="1:15" ht="15" customHeight="1" x14ac:dyDescent="0.3">
      <c r="A166" s="6" t="s">
        <v>224</v>
      </c>
      <c r="B166" s="6" t="s">
        <v>225</v>
      </c>
      <c r="C166" s="8">
        <v>13.7</v>
      </c>
      <c r="D166" s="8">
        <v>42.5</v>
      </c>
      <c r="E166" s="8">
        <v>19.600000000000001</v>
      </c>
      <c r="F166" s="8">
        <v>16.8</v>
      </c>
      <c r="G166" s="8">
        <v>19.7</v>
      </c>
      <c r="H166" s="8">
        <v>15.1</v>
      </c>
      <c r="I166" s="8">
        <v>42.8</v>
      </c>
      <c r="J166" s="8">
        <v>33.5</v>
      </c>
      <c r="K166" s="8">
        <v>21.9</v>
      </c>
      <c r="L166" s="8">
        <v>14.9</v>
      </c>
      <c r="M166" s="8">
        <v>13.6</v>
      </c>
      <c r="N166" s="8">
        <v>26.5</v>
      </c>
      <c r="O166" s="28">
        <f>IF('Well Summary'!I166&gt;0,'Well Summary'!F166/('Well Summary'!I166/24),0)</f>
        <v>23.668009671949868</v>
      </c>
    </row>
    <row r="167" spans="1:15" ht="15" customHeight="1" x14ac:dyDescent="0.3">
      <c r="A167" s="6" t="s">
        <v>475</v>
      </c>
      <c r="B167" s="6" t="s">
        <v>476</v>
      </c>
      <c r="C167" s="8">
        <v>113.6</v>
      </c>
      <c r="D167" s="8">
        <v>91.8</v>
      </c>
      <c r="E167" s="8">
        <v>84.9</v>
      </c>
      <c r="F167" s="8"/>
      <c r="G167" s="8"/>
      <c r="H167" s="8"/>
      <c r="I167" s="8"/>
      <c r="J167" s="8"/>
      <c r="K167" s="8"/>
      <c r="L167" s="8"/>
      <c r="M167" s="8"/>
      <c r="N167" s="8"/>
      <c r="O167" s="28">
        <f>IF('Well Summary'!I167&gt;0,'Well Summary'!F167/('Well Summary'!I167/24),0)</f>
        <v>98.198134452405313</v>
      </c>
    </row>
    <row r="168" spans="1:15" ht="15" customHeight="1" x14ac:dyDescent="0.3">
      <c r="A168" s="6" t="s">
        <v>227</v>
      </c>
      <c r="B168" s="6" t="s">
        <v>44</v>
      </c>
      <c r="C168" s="8">
        <v>25.2</v>
      </c>
      <c r="D168" s="8">
        <v>22.8</v>
      </c>
      <c r="E168" s="8">
        <v>22.1</v>
      </c>
      <c r="F168" s="8">
        <v>21.5</v>
      </c>
      <c r="G168" s="8">
        <v>21.5</v>
      </c>
      <c r="H168" s="8">
        <v>18.5</v>
      </c>
      <c r="I168" s="8">
        <v>21.2</v>
      </c>
      <c r="J168" s="8">
        <v>20.7</v>
      </c>
      <c r="K168" s="8">
        <v>19.899999999999999</v>
      </c>
      <c r="L168" s="8">
        <v>21.6</v>
      </c>
      <c r="M168" s="8">
        <v>22.8</v>
      </c>
      <c r="N168" s="8">
        <v>23.4</v>
      </c>
      <c r="O168" s="28">
        <f>IF('Well Summary'!I168&gt;0,'Well Summary'!F168/('Well Summary'!I168/24),0)</f>
        <v>21.744244115226333</v>
      </c>
    </row>
    <row r="169" spans="1:15" ht="15" customHeight="1" x14ac:dyDescent="0.3">
      <c r="A169" s="6" t="s">
        <v>228</v>
      </c>
      <c r="B169" s="6" t="s">
        <v>123</v>
      </c>
      <c r="C169" s="8">
        <v>29</v>
      </c>
      <c r="D169" s="8">
        <v>24.5</v>
      </c>
      <c r="E169" s="8">
        <v>22.4</v>
      </c>
      <c r="F169" s="8">
        <v>20.6</v>
      </c>
      <c r="G169" s="8">
        <v>20.6</v>
      </c>
      <c r="H169" s="8">
        <v>21.2</v>
      </c>
      <c r="I169" s="8">
        <v>22.2</v>
      </c>
      <c r="J169" s="8">
        <v>21.6</v>
      </c>
      <c r="K169" s="8">
        <v>19.899999999999999</v>
      </c>
      <c r="L169" s="8">
        <v>20.8</v>
      </c>
      <c r="M169" s="8">
        <v>20.100000000000001</v>
      </c>
      <c r="N169" s="8">
        <v>20.8</v>
      </c>
      <c r="O169" s="28">
        <f>IF('Well Summary'!I169&gt;0,'Well Summary'!F169/('Well Summary'!I169/24),0)</f>
        <v>21.976504397360195</v>
      </c>
    </row>
    <row r="170" spans="1:15" ht="15" customHeight="1" x14ac:dyDescent="0.3">
      <c r="A170" s="6" t="s">
        <v>229</v>
      </c>
      <c r="B170" s="6" t="s">
        <v>100</v>
      </c>
      <c r="C170" s="8">
        <v>39.5</v>
      </c>
      <c r="D170" s="8">
        <v>36.4</v>
      </c>
      <c r="E170" s="8">
        <v>12.5</v>
      </c>
      <c r="F170" s="8">
        <v>18.899999999999999</v>
      </c>
      <c r="G170" s="8">
        <v>23.8</v>
      </c>
      <c r="H170" s="8">
        <v>19.899999999999999</v>
      </c>
      <c r="I170" s="8">
        <v>19.3</v>
      </c>
      <c r="J170" s="8">
        <v>19.5</v>
      </c>
      <c r="K170" s="8">
        <v>18.8</v>
      </c>
      <c r="L170" s="8">
        <v>23.4</v>
      </c>
      <c r="M170" s="8">
        <v>21.2</v>
      </c>
      <c r="N170" s="8">
        <v>22.2</v>
      </c>
      <c r="O170" s="28">
        <f>IF('Well Summary'!I170&gt;0,'Well Summary'!F170/('Well Summary'!I170/24),0)</f>
        <v>23.436892348993286</v>
      </c>
    </row>
    <row r="171" spans="1:15" ht="15" customHeight="1" x14ac:dyDescent="0.3">
      <c r="A171" s="6" t="s">
        <v>230</v>
      </c>
      <c r="B171" s="6" t="s">
        <v>231</v>
      </c>
      <c r="C171" s="8">
        <v>22.9</v>
      </c>
      <c r="D171" s="8">
        <v>32.200000000000003</v>
      </c>
      <c r="E171" s="8">
        <v>17.399999999999999</v>
      </c>
      <c r="F171" s="8">
        <v>1.5</v>
      </c>
      <c r="G171" s="8">
        <v>17.600000000000001</v>
      </c>
      <c r="H171" s="8">
        <v>17.399999999999999</v>
      </c>
      <c r="I171" s="8">
        <v>25.5</v>
      </c>
      <c r="J171" s="8">
        <v>25.7</v>
      </c>
      <c r="K171" s="8">
        <v>24.9</v>
      </c>
      <c r="L171" s="8">
        <v>23</v>
      </c>
      <c r="M171" s="8">
        <v>23.6</v>
      </c>
      <c r="N171" s="8">
        <v>23.7</v>
      </c>
      <c r="O171" s="28">
        <f>IF('Well Summary'!I171&gt;0,'Well Summary'!F171/('Well Summary'!I171/24),0)</f>
        <v>21.235161031991741</v>
      </c>
    </row>
    <row r="172" spans="1:15" ht="15" customHeight="1" x14ac:dyDescent="0.3">
      <c r="A172" s="6" t="s">
        <v>233</v>
      </c>
      <c r="B172" s="6" t="s">
        <v>231</v>
      </c>
      <c r="C172" s="8">
        <v>23.9</v>
      </c>
      <c r="D172" s="8">
        <v>23.7</v>
      </c>
      <c r="E172" s="8">
        <v>23.5</v>
      </c>
      <c r="F172" s="8">
        <v>22</v>
      </c>
      <c r="G172" s="8">
        <v>24.5</v>
      </c>
      <c r="H172" s="8">
        <v>23.4</v>
      </c>
      <c r="I172" s="8">
        <v>24.3</v>
      </c>
      <c r="J172" s="8">
        <v>24.5</v>
      </c>
      <c r="K172" s="8">
        <v>22.6</v>
      </c>
      <c r="L172" s="8">
        <v>21.1</v>
      </c>
      <c r="M172" s="8">
        <v>17.2</v>
      </c>
      <c r="N172" s="8">
        <v>19.7</v>
      </c>
      <c r="O172" s="28">
        <f>IF('Well Summary'!I172&gt;0,'Well Summary'!F172/('Well Summary'!I172/24),0)</f>
        <v>22.625489720878303</v>
      </c>
    </row>
    <row r="173" spans="1:15" ht="15" customHeight="1" x14ac:dyDescent="0.3">
      <c r="A173" s="6" t="s">
        <v>234</v>
      </c>
      <c r="B173" s="6" t="s">
        <v>235</v>
      </c>
      <c r="C173" s="8">
        <v>22.4</v>
      </c>
      <c r="D173" s="8">
        <v>23.7</v>
      </c>
      <c r="E173" s="8">
        <v>23.7</v>
      </c>
      <c r="F173" s="8">
        <v>24.4</v>
      </c>
      <c r="G173" s="8">
        <v>24.2</v>
      </c>
      <c r="H173" s="8">
        <v>23.7</v>
      </c>
      <c r="I173" s="8">
        <v>20.7</v>
      </c>
      <c r="J173" s="8">
        <v>19.5</v>
      </c>
      <c r="K173" s="8">
        <v>17.399999999999999</v>
      </c>
      <c r="L173" s="8">
        <v>16.600000000000001</v>
      </c>
      <c r="M173" s="8">
        <v>16.5</v>
      </c>
      <c r="N173" s="8">
        <v>18.2</v>
      </c>
      <c r="O173" s="28">
        <f>IF('Well Summary'!I173&gt;0,'Well Summary'!F173/('Well Summary'!I173/24),0)</f>
        <v>20.871302446174987</v>
      </c>
    </row>
    <row r="174" spans="1:15" ht="15" customHeight="1" x14ac:dyDescent="0.3">
      <c r="A174" s="6" t="s">
        <v>379</v>
      </c>
      <c r="B174" s="6" t="s">
        <v>169</v>
      </c>
      <c r="C174" s="8">
        <v>42.8</v>
      </c>
      <c r="D174" s="8">
        <v>38.9</v>
      </c>
      <c r="E174" s="8">
        <v>26.7</v>
      </c>
      <c r="F174" s="8">
        <v>19.600000000000001</v>
      </c>
      <c r="G174" s="8">
        <v>14.4</v>
      </c>
      <c r="H174" s="8">
        <v>15.2</v>
      </c>
      <c r="I174" s="8">
        <v>18.399999999999999</v>
      </c>
      <c r="J174" s="8">
        <v>18.399999999999999</v>
      </c>
      <c r="K174" s="8">
        <v>22</v>
      </c>
      <c r="L174" s="8">
        <v>21.9</v>
      </c>
      <c r="M174" s="8">
        <v>22.4</v>
      </c>
      <c r="N174" s="8">
        <v>23.3</v>
      </c>
      <c r="O174" s="28">
        <f>IF('Well Summary'!I174&gt;0,'Well Summary'!F174/('Well Summary'!I174/24),0)</f>
        <v>22.158305760709009</v>
      </c>
    </row>
    <row r="175" spans="1:15" ht="15" customHeight="1" x14ac:dyDescent="0.3">
      <c r="A175" s="6" t="s">
        <v>479</v>
      </c>
      <c r="B175" s="6" t="s">
        <v>182</v>
      </c>
      <c r="C175" s="8">
        <v>21.4</v>
      </c>
      <c r="D175" s="8">
        <v>23.3</v>
      </c>
      <c r="E175" s="8">
        <v>21.2</v>
      </c>
      <c r="F175" s="8">
        <v>20.399999999999999</v>
      </c>
      <c r="G175" s="8">
        <v>20.9</v>
      </c>
      <c r="H175" s="8">
        <v>34.799999999999997</v>
      </c>
      <c r="I175" s="8">
        <v>26.7</v>
      </c>
      <c r="J175" s="8">
        <v>17.899999999999999</v>
      </c>
      <c r="K175" s="8">
        <v>18.600000000000001</v>
      </c>
      <c r="L175" s="8">
        <v>35.799999999999997</v>
      </c>
      <c r="M175" s="8">
        <v>1.5</v>
      </c>
      <c r="N175" s="8">
        <v>1.3</v>
      </c>
      <c r="O175" s="28">
        <f>IF('Well Summary'!I175&gt;0,'Well Summary'!F175/('Well Summary'!I175/24),0)</f>
        <v>21.560747672456575</v>
      </c>
    </row>
    <row r="176" spans="1:15" ht="15" customHeight="1" x14ac:dyDescent="0.3">
      <c r="A176" s="6" t="s">
        <v>237</v>
      </c>
      <c r="B176" s="6" t="s">
        <v>212</v>
      </c>
      <c r="C176" s="8">
        <v>26.8</v>
      </c>
      <c r="D176" s="8">
        <v>27.3</v>
      </c>
      <c r="E176" s="8">
        <v>26.4</v>
      </c>
      <c r="F176" s="8">
        <v>24</v>
      </c>
      <c r="G176" s="8">
        <v>19.600000000000001</v>
      </c>
      <c r="H176" s="8">
        <v>20</v>
      </c>
      <c r="I176" s="8">
        <v>20.5</v>
      </c>
      <c r="J176" s="8">
        <v>12.7</v>
      </c>
      <c r="K176" s="8">
        <v>14.1</v>
      </c>
      <c r="L176" s="8">
        <v>28.6</v>
      </c>
      <c r="M176" s="8">
        <v>17.3</v>
      </c>
      <c r="N176" s="8">
        <v>13.3</v>
      </c>
      <c r="O176" s="28">
        <f>IF('Well Summary'!I176&gt;0,'Well Summary'!F176/('Well Summary'!I176/24),0)</f>
        <v>21.166183552406547</v>
      </c>
    </row>
    <row r="177" spans="1:15" ht="15" customHeight="1" x14ac:dyDescent="0.3">
      <c r="A177" s="6" t="s">
        <v>238</v>
      </c>
      <c r="B177" s="6" t="s">
        <v>239</v>
      </c>
      <c r="C177" s="8">
        <v>23.1</v>
      </c>
      <c r="D177" s="8">
        <v>22.2</v>
      </c>
      <c r="E177" s="8">
        <v>17.5</v>
      </c>
      <c r="F177" s="8">
        <v>12.1</v>
      </c>
      <c r="G177" s="8">
        <v>8.6</v>
      </c>
      <c r="H177" s="8">
        <v>11.6</v>
      </c>
      <c r="I177" s="8">
        <v>22.6</v>
      </c>
      <c r="J177" s="8">
        <v>23.5</v>
      </c>
      <c r="K177" s="8">
        <v>27.4</v>
      </c>
      <c r="L177" s="8">
        <v>25.2</v>
      </c>
      <c r="M177" s="8">
        <v>22</v>
      </c>
      <c r="N177" s="8">
        <v>21.4</v>
      </c>
      <c r="O177" s="28">
        <f>IF('Well Summary'!I177&gt;0,'Well Summary'!F177/('Well Summary'!I177/24),0)</f>
        <v>19.758389147571034</v>
      </c>
    </row>
    <row r="178" spans="1:15" ht="15" customHeight="1" x14ac:dyDescent="0.3">
      <c r="A178" s="6" t="s">
        <v>241</v>
      </c>
      <c r="B178" s="6" t="s">
        <v>242</v>
      </c>
      <c r="C178" s="8">
        <v>32.1</v>
      </c>
      <c r="D178" s="8">
        <v>28.3</v>
      </c>
      <c r="E178" s="8">
        <v>28.3</v>
      </c>
      <c r="F178" s="8">
        <v>18.100000000000001</v>
      </c>
      <c r="G178" s="8">
        <v>12.8</v>
      </c>
      <c r="H178" s="8">
        <v>18.8</v>
      </c>
      <c r="I178" s="8">
        <v>20.2</v>
      </c>
      <c r="J178" s="8">
        <v>20.6</v>
      </c>
      <c r="K178" s="8">
        <v>29</v>
      </c>
      <c r="L178" s="8">
        <v>17.7</v>
      </c>
      <c r="M178" s="8">
        <v>7.6</v>
      </c>
      <c r="N178" s="8">
        <v>8.1999999999999993</v>
      </c>
      <c r="O178" s="28">
        <f>IF('Well Summary'!I178&gt;0,'Well Summary'!F178/('Well Summary'!I178/24),0)</f>
        <v>20.104946458797329</v>
      </c>
    </row>
    <row r="179" spans="1:15" ht="15" customHeight="1" x14ac:dyDescent="0.3">
      <c r="A179" s="6" t="s">
        <v>244</v>
      </c>
      <c r="B179" s="6" t="s">
        <v>206</v>
      </c>
      <c r="C179" s="8">
        <v>22.7</v>
      </c>
      <c r="D179" s="8">
        <v>22.5</v>
      </c>
      <c r="E179" s="8">
        <v>21.7</v>
      </c>
      <c r="F179" s="8">
        <v>22.6</v>
      </c>
      <c r="G179" s="8">
        <v>20.6</v>
      </c>
      <c r="H179" s="8">
        <v>17.8</v>
      </c>
      <c r="I179" s="8">
        <v>16.8</v>
      </c>
      <c r="J179" s="8">
        <v>16.899999999999999</v>
      </c>
      <c r="K179" s="8">
        <v>17.899999999999999</v>
      </c>
      <c r="L179" s="8">
        <v>18.899999999999999</v>
      </c>
      <c r="M179" s="8">
        <v>18.399999999999999</v>
      </c>
      <c r="N179" s="8">
        <v>19.3</v>
      </c>
      <c r="O179" s="28">
        <f>IF('Well Summary'!I179&gt;0,'Well Summary'!F179/('Well Summary'!I179/24),0)</f>
        <v>19.675799421620379</v>
      </c>
    </row>
    <row r="180" spans="1:15" ht="15" customHeight="1" x14ac:dyDescent="0.3">
      <c r="A180" s="6" t="s">
        <v>245</v>
      </c>
      <c r="B180" s="6" t="s">
        <v>246</v>
      </c>
      <c r="C180" s="8">
        <v>20.100000000000001</v>
      </c>
      <c r="D180" s="8">
        <v>19.899999999999999</v>
      </c>
      <c r="E180" s="8">
        <v>20.7</v>
      </c>
      <c r="F180" s="8">
        <v>20.100000000000001</v>
      </c>
      <c r="G180" s="8">
        <v>21</v>
      </c>
      <c r="H180" s="8">
        <v>18.8</v>
      </c>
      <c r="I180" s="8">
        <v>19.600000000000001</v>
      </c>
      <c r="J180" s="8">
        <v>19.5</v>
      </c>
      <c r="K180" s="8">
        <v>19.7</v>
      </c>
      <c r="L180" s="8">
        <v>20.100000000000001</v>
      </c>
      <c r="M180" s="8">
        <v>19.600000000000001</v>
      </c>
      <c r="N180" s="8">
        <v>15.8</v>
      </c>
      <c r="O180" s="28">
        <f>IF('Well Summary'!I180&gt;0,'Well Summary'!F180/('Well Summary'!I180/24),0)</f>
        <v>19.580006664371773</v>
      </c>
    </row>
    <row r="181" spans="1:15" ht="15" customHeight="1" x14ac:dyDescent="0.3">
      <c r="A181" s="6" t="s">
        <v>481</v>
      </c>
      <c r="B181" s="6" t="s">
        <v>182</v>
      </c>
      <c r="C181" s="8">
        <v>32.5</v>
      </c>
      <c r="D181" s="8">
        <v>23.8</v>
      </c>
      <c r="E181" s="8">
        <v>21.6</v>
      </c>
      <c r="F181" s="8">
        <v>31.3</v>
      </c>
      <c r="G181" s="8">
        <v>23.3</v>
      </c>
      <c r="H181" s="8">
        <v>21.6</v>
      </c>
      <c r="I181" s="8">
        <v>20.3</v>
      </c>
      <c r="J181" s="8">
        <v>17.3</v>
      </c>
      <c r="K181" s="8">
        <v>23.9</v>
      </c>
      <c r="L181" s="8">
        <v>11.2</v>
      </c>
      <c r="M181" s="8">
        <v>6.5</v>
      </c>
      <c r="N181" s="8">
        <v>5.6</v>
      </c>
      <c r="O181" s="28">
        <f>IF('Well Summary'!I181&gt;0,'Well Summary'!F181/('Well Summary'!I181/24),0)</f>
        <v>20.837453854089905</v>
      </c>
    </row>
    <row r="182" spans="1:15" ht="15" customHeight="1" x14ac:dyDescent="0.3">
      <c r="A182" s="6" t="s">
        <v>248</v>
      </c>
      <c r="B182" s="6" t="s">
        <v>249</v>
      </c>
      <c r="C182" s="8">
        <v>18.3</v>
      </c>
      <c r="D182" s="8">
        <v>21.2</v>
      </c>
      <c r="E182" s="8">
        <v>22.4</v>
      </c>
      <c r="F182" s="8">
        <v>17.8</v>
      </c>
      <c r="G182" s="8">
        <v>14.7</v>
      </c>
      <c r="H182" s="8">
        <v>16.5</v>
      </c>
      <c r="I182" s="8">
        <v>22.1</v>
      </c>
      <c r="J182" s="8">
        <v>20.8</v>
      </c>
      <c r="K182" s="8">
        <v>19</v>
      </c>
      <c r="L182" s="8">
        <v>20.8</v>
      </c>
      <c r="M182" s="8">
        <v>20.6</v>
      </c>
      <c r="N182" s="8">
        <v>22.5</v>
      </c>
      <c r="O182" s="28">
        <f>IF('Well Summary'!I182&gt;0,'Well Summary'!F182/('Well Summary'!I182/24),0)</f>
        <v>19.689121841860466</v>
      </c>
    </row>
    <row r="183" spans="1:15" ht="15" customHeight="1" x14ac:dyDescent="0.3">
      <c r="A183" s="6" t="s">
        <v>251</v>
      </c>
      <c r="B183" s="6" t="s">
        <v>132</v>
      </c>
      <c r="C183" s="8">
        <v>15.3</v>
      </c>
      <c r="D183" s="8">
        <v>18.5</v>
      </c>
      <c r="E183" s="8">
        <v>18.7</v>
      </c>
      <c r="F183" s="8">
        <v>19.7</v>
      </c>
      <c r="G183" s="8">
        <v>19.899999999999999</v>
      </c>
      <c r="H183" s="8">
        <v>14.8</v>
      </c>
      <c r="I183" s="8">
        <v>18.3</v>
      </c>
      <c r="J183" s="8">
        <v>17.600000000000001</v>
      </c>
      <c r="K183" s="8">
        <v>24.4</v>
      </c>
      <c r="L183" s="8">
        <v>24.5</v>
      </c>
      <c r="M183" s="8">
        <v>26</v>
      </c>
      <c r="N183" s="8">
        <v>25.2</v>
      </c>
      <c r="O183" s="28">
        <f>IF('Well Summary'!I183&gt;0,'Well Summary'!F183/('Well Summary'!I183/24),0)</f>
        <v>20.290851613536045</v>
      </c>
    </row>
    <row r="184" spans="1:15" ht="15" customHeight="1" x14ac:dyDescent="0.3">
      <c r="A184" s="6" t="s">
        <v>252</v>
      </c>
      <c r="B184" s="6" t="s">
        <v>173</v>
      </c>
      <c r="C184" s="8">
        <v>21</v>
      </c>
      <c r="D184" s="8">
        <v>27.4</v>
      </c>
      <c r="E184" s="8">
        <v>21.5</v>
      </c>
      <c r="F184" s="8">
        <v>17.7</v>
      </c>
      <c r="G184" s="8">
        <v>18</v>
      </c>
      <c r="H184" s="8">
        <v>13.6</v>
      </c>
      <c r="I184" s="8">
        <v>18.899999999999999</v>
      </c>
      <c r="J184" s="8">
        <v>17.600000000000001</v>
      </c>
      <c r="K184" s="8">
        <v>17.600000000000001</v>
      </c>
      <c r="L184" s="8">
        <v>17.899999999999999</v>
      </c>
      <c r="M184" s="8">
        <v>17.5</v>
      </c>
      <c r="N184" s="8">
        <v>16.399999999999999</v>
      </c>
      <c r="O184" s="28">
        <f>IF('Well Summary'!I184&gt;0,'Well Summary'!F184/('Well Summary'!I184/24),0)</f>
        <v>18.70928022076578</v>
      </c>
    </row>
    <row r="185" spans="1:15" ht="15" customHeight="1" x14ac:dyDescent="0.3">
      <c r="A185" s="6" t="s">
        <v>253</v>
      </c>
      <c r="B185" s="6" t="s">
        <v>173</v>
      </c>
      <c r="C185" s="8">
        <v>30.2</v>
      </c>
      <c r="D185" s="8">
        <v>36.5</v>
      </c>
      <c r="E185" s="8">
        <v>28.5</v>
      </c>
      <c r="F185" s="8">
        <v>23.4</v>
      </c>
      <c r="G185" s="8">
        <v>20.2</v>
      </c>
      <c r="H185" s="8">
        <v>13.1</v>
      </c>
      <c r="I185" s="8">
        <v>13.2</v>
      </c>
      <c r="J185" s="8">
        <v>11.7</v>
      </c>
      <c r="K185" s="8">
        <v>11.7</v>
      </c>
      <c r="L185" s="8">
        <v>12</v>
      </c>
      <c r="M185" s="8">
        <v>11.6</v>
      </c>
      <c r="N185" s="8">
        <v>10.9</v>
      </c>
      <c r="O185" s="28">
        <f>IF('Well Summary'!I185&gt;0,'Well Summary'!F185/('Well Summary'!I185/24),0)</f>
        <v>18.504465760607104</v>
      </c>
    </row>
    <row r="186" spans="1:15" ht="15" customHeight="1" x14ac:dyDescent="0.3">
      <c r="A186" s="6" t="s">
        <v>254</v>
      </c>
      <c r="B186" s="6" t="s">
        <v>255</v>
      </c>
      <c r="C186" s="8">
        <v>20.3</v>
      </c>
      <c r="D186" s="8">
        <v>23.3</v>
      </c>
      <c r="E186" s="8">
        <v>21.6</v>
      </c>
      <c r="F186" s="8">
        <v>19.600000000000001</v>
      </c>
      <c r="G186" s="8">
        <v>14.5</v>
      </c>
      <c r="H186" s="8">
        <v>20.3</v>
      </c>
      <c r="I186" s="8">
        <v>26.7</v>
      </c>
      <c r="J186" s="8">
        <v>17.600000000000001</v>
      </c>
      <c r="K186" s="8">
        <v>13.6</v>
      </c>
      <c r="L186" s="8">
        <v>13.1</v>
      </c>
      <c r="M186" s="8">
        <v>14.2</v>
      </c>
      <c r="N186" s="8">
        <v>19.3</v>
      </c>
      <c r="O186" s="28">
        <f>IF('Well Summary'!I186&gt;0,'Well Summary'!F186/('Well Summary'!I186/24),0)</f>
        <v>18.586096682113062</v>
      </c>
    </row>
    <row r="187" spans="1:15" ht="15" customHeight="1" x14ac:dyDescent="0.3">
      <c r="A187" s="6" t="s">
        <v>257</v>
      </c>
      <c r="B187" s="6" t="s">
        <v>255</v>
      </c>
      <c r="C187" s="8">
        <v>17.399999999999999</v>
      </c>
      <c r="D187" s="8">
        <v>19.100000000000001</v>
      </c>
      <c r="E187" s="8">
        <v>28.9</v>
      </c>
      <c r="F187" s="8">
        <v>23</v>
      </c>
      <c r="G187" s="8">
        <v>16.100000000000001</v>
      </c>
      <c r="H187" s="8">
        <v>25.1</v>
      </c>
      <c r="I187" s="8">
        <v>26.1</v>
      </c>
      <c r="J187" s="8">
        <v>15.2</v>
      </c>
      <c r="K187" s="8">
        <v>10.6</v>
      </c>
      <c r="L187" s="8">
        <v>10.7</v>
      </c>
      <c r="M187" s="8">
        <v>14.2</v>
      </c>
      <c r="N187" s="8">
        <v>19.3</v>
      </c>
      <c r="O187" s="28">
        <f>IF('Well Summary'!I187&gt;0,'Well Summary'!F187/('Well Summary'!I187/24),0)</f>
        <v>18.66560959587677</v>
      </c>
    </row>
    <row r="188" spans="1:15" ht="15" customHeight="1" x14ac:dyDescent="0.3">
      <c r="A188" s="6" t="s">
        <v>258</v>
      </c>
      <c r="B188" s="6" t="s">
        <v>68</v>
      </c>
      <c r="C188" s="8">
        <v>26.8</v>
      </c>
      <c r="D188" s="8">
        <v>21.8</v>
      </c>
      <c r="E188" s="8">
        <v>22</v>
      </c>
      <c r="F188" s="8">
        <v>23.9</v>
      </c>
      <c r="G188" s="8">
        <v>24.8</v>
      </c>
      <c r="H188" s="8">
        <v>20.100000000000001</v>
      </c>
      <c r="I188" s="8">
        <v>14.1</v>
      </c>
      <c r="J188" s="8">
        <v>12.5</v>
      </c>
      <c r="K188" s="8">
        <v>12</v>
      </c>
      <c r="L188" s="8">
        <v>13.9</v>
      </c>
      <c r="M188" s="8">
        <v>12.1</v>
      </c>
      <c r="N188" s="8">
        <v>11.7</v>
      </c>
      <c r="O188" s="28">
        <f>IF('Well Summary'!I188&gt;0,'Well Summary'!F188/('Well Summary'!I188/24),0)</f>
        <v>17.951709047673489</v>
      </c>
    </row>
    <row r="189" spans="1:15" ht="15" customHeight="1" x14ac:dyDescent="0.3">
      <c r="A189" s="6" t="s">
        <v>259</v>
      </c>
      <c r="B189" s="6" t="s">
        <v>235</v>
      </c>
      <c r="C189" s="8">
        <v>12.2</v>
      </c>
      <c r="D189" s="8">
        <v>21.3</v>
      </c>
      <c r="E189" s="8">
        <v>23</v>
      </c>
      <c r="F189" s="8">
        <v>24.2</v>
      </c>
      <c r="G189" s="8">
        <v>23.6</v>
      </c>
      <c r="H189" s="8">
        <v>19.7</v>
      </c>
      <c r="I189" s="8">
        <v>17.899999999999999</v>
      </c>
      <c r="J189" s="8">
        <v>17</v>
      </c>
      <c r="K189" s="8">
        <v>17.5</v>
      </c>
      <c r="L189" s="8">
        <v>15.4</v>
      </c>
      <c r="M189" s="8">
        <v>16.899999999999999</v>
      </c>
      <c r="N189" s="8">
        <v>16.899999999999999</v>
      </c>
      <c r="O189" s="28">
        <f>IF('Well Summary'!I189&gt;0,'Well Summary'!F189/('Well Summary'!I189/24),0)</f>
        <v>18.609085742976688</v>
      </c>
    </row>
    <row r="190" spans="1:15" ht="15" customHeight="1" x14ac:dyDescent="0.3">
      <c r="A190" s="6" t="s">
        <v>260</v>
      </c>
      <c r="B190" s="6" t="s">
        <v>95</v>
      </c>
      <c r="C190" s="8">
        <v>13.5</v>
      </c>
      <c r="D190" s="8">
        <v>11.8</v>
      </c>
      <c r="E190" s="8">
        <v>12.4</v>
      </c>
      <c r="F190" s="8">
        <v>13.8</v>
      </c>
      <c r="G190" s="8">
        <v>11.8</v>
      </c>
      <c r="H190" s="8">
        <v>15.3</v>
      </c>
      <c r="I190" s="8">
        <v>16.7</v>
      </c>
      <c r="J190" s="8">
        <v>18.399999999999999</v>
      </c>
      <c r="K190" s="8">
        <v>24.7</v>
      </c>
      <c r="L190" s="8">
        <v>25.2</v>
      </c>
      <c r="M190" s="8">
        <v>24.9</v>
      </c>
      <c r="N190" s="8">
        <v>25.4</v>
      </c>
      <c r="O190" s="28">
        <f>IF('Well Summary'!I190&gt;0,'Well Summary'!F190/('Well Summary'!I190/24),0)</f>
        <v>17.865212173310223</v>
      </c>
    </row>
    <row r="191" spans="1:15" ht="15" customHeight="1" x14ac:dyDescent="0.3">
      <c r="A191" s="6" t="s">
        <v>261</v>
      </c>
      <c r="B191" s="6" t="s">
        <v>246</v>
      </c>
      <c r="C191" s="8">
        <v>18.8</v>
      </c>
      <c r="D191" s="8">
        <v>7.1</v>
      </c>
      <c r="E191" s="8">
        <v>17.2</v>
      </c>
      <c r="F191" s="8">
        <v>16</v>
      </c>
      <c r="G191" s="8">
        <v>16.8</v>
      </c>
      <c r="H191" s="8">
        <v>17.100000000000001</v>
      </c>
      <c r="I191" s="8">
        <v>19.399999999999999</v>
      </c>
      <c r="J191" s="8">
        <v>18.8</v>
      </c>
      <c r="K191" s="8">
        <v>22.1</v>
      </c>
      <c r="L191" s="8">
        <v>21.3</v>
      </c>
      <c r="M191" s="8">
        <v>21.2</v>
      </c>
      <c r="N191" s="8">
        <v>16.7</v>
      </c>
      <c r="O191" s="28">
        <f>IF('Well Summary'!I191&gt;0,'Well Summary'!F191/('Well Summary'!I191/24),0)</f>
        <v>17.97724752836589</v>
      </c>
    </row>
    <row r="192" spans="1:15" ht="15" customHeight="1" x14ac:dyDescent="0.3">
      <c r="A192" s="6" t="s">
        <v>262</v>
      </c>
      <c r="B192" s="6" t="s">
        <v>263</v>
      </c>
      <c r="C192" s="8">
        <v>14.2</v>
      </c>
      <c r="D192" s="8">
        <v>17.3</v>
      </c>
      <c r="E192" s="8">
        <v>17.399999999999999</v>
      </c>
      <c r="F192" s="8">
        <v>23.3</v>
      </c>
      <c r="G192" s="8">
        <v>19.899999999999999</v>
      </c>
      <c r="H192" s="8">
        <v>17.3</v>
      </c>
      <c r="I192" s="8">
        <v>17.3</v>
      </c>
      <c r="J192" s="8">
        <v>17.100000000000001</v>
      </c>
      <c r="K192" s="8">
        <v>17.5</v>
      </c>
      <c r="L192" s="8">
        <v>17.100000000000001</v>
      </c>
      <c r="M192" s="8">
        <v>15.7</v>
      </c>
      <c r="N192" s="8">
        <v>15.9</v>
      </c>
      <c r="O192" s="28">
        <f>IF('Well Summary'!I192&gt;0,'Well Summary'!F192/('Well Summary'!I192/24),0)</f>
        <v>17.491907939698493</v>
      </c>
    </row>
    <row r="193" spans="1:15" ht="15" customHeight="1" x14ac:dyDescent="0.3">
      <c r="A193" s="6" t="s">
        <v>265</v>
      </c>
      <c r="B193" s="6" t="s">
        <v>266</v>
      </c>
      <c r="C193" s="8">
        <v>22.8</v>
      </c>
      <c r="D193" s="8">
        <v>21.6</v>
      </c>
      <c r="E193" s="8">
        <v>22</v>
      </c>
      <c r="F193" s="8">
        <v>22.7</v>
      </c>
      <c r="G193" s="8">
        <v>24.9</v>
      </c>
      <c r="H193" s="8">
        <v>19.7</v>
      </c>
      <c r="I193" s="8">
        <v>14.3</v>
      </c>
      <c r="J193" s="8">
        <v>14.3</v>
      </c>
      <c r="K193" s="8">
        <v>15.3</v>
      </c>
      <c r="L193" s="8">
        <v>14.2</v>
      </c>
      <c r="M193" s="8">
        <v>11.3</v>
      </c>
      <c r="N193" s="8">
        <v>5.2</v>
      </c>
      <c r="O193" s="28">
        <f>IF('Well Summary'!I193&gt;0,'Well Summary'!F193/('Well Summary'!I193/24),0)</f>
        <v>17.350854335472043</v>
      </c>
    </row>
    <row r="194" spans="1:15" ht="15" customHeight="1" x14ac:dyDescent="0.3">
      <c r="A194" s="6" t="s">
        <v>268</v>
      </c>
      <c r="B194" s="6" t="s">
        <v>269</v>
      </c>
      <c r="C194" s="8">
        <v>17.100000000000001</v>
      </c>
      <c r="D194" s="8">
        <v>20.7</v>
      </c>
      <c r="E194" s="8">
        <v>18.600000000000001</v>
      </c>
      <c r="F194" s="8">
        <v>16.600000000000001</v>
      </c>
      <c r="G194" s="8">
        <v>18.5</v>
      </c>
      <c r="H194" s="8">
        <v>20.5</v>
      </c>
      <c r="I194" s="8">
        <v>20</v>
      </c>
      <c r="J194" s="8">
        <v>18.3</v>
      </c>
      <c r="K194" s="8">
        <v>21.1</v>
      </c>
      <c r="L194" s="8">
        <v>18.8</v>
      </c>
      <c r="M194" s="8">
        <v>11.1</v>
      </c>
      <c r="N194" s="8">
        <v>7.2</v>
      </c>
      <c r="O194" s="28">
        <f>IF('Well Summary'!I194&gt;0,'Well Summary'!F194/('Well Summary'!I194/24),0)</f>
        <v>17.36418081285878</v>
      </c>
    </row>
    <row r="195" spans="1:15" ht="15" customHeight="1" x14ac:dyDescent="0.3">
      <c r="A195" s="6" t="s">
        <v>271</v>
      </c>
      <c r="B195" s="6" t="s">
        <v>272</v>
      </c>
      <c r="C195" s="8">
        <v>17.3</v>
      </c>
      <c r="D195" s="8">
        <v>17.2</v>
      </c>
      <c r="E195" s="8">
        <v>18.100000000000001</v>
      </c>
      <c r="F195" s="8">
        <v>17.8</v>
      </c>
      <c r="G195" s="8">
        <v>18.2</v>
      </c>
      <c r="H195" s="8">
        <v>17.600000000000001</v>
      </c>
      <c r="I195" s="8">
        <v>18</v>
      </c>
      <c r="J195" s="8">
        <v>12.9</v>
      </c>
      <c r="K195" s="8">
        <v>18.600000000000001</v>
      </c>
      <c r="L195" s="8">
        <v>17.399999999999999</v>
      </c>
      <c r="M195" s="8">
        <v>19</v>
      </c>
      <c r="N195" s="8">
        <v>17.399999999999999</v>
      </c>
      <c r="O195" s="28">
        <f>IF('Well Summary'!I195&gt;0,'Well Summary'!F195/('Well Summary'!I195/24),0)</f>
        <v>17.444576779939069</v>
      </c>
    </row>
    <row r="196" spans="1:15" ht="15" customHeight="1" x14ac:dyDescent="0.3">
      <c r="A196" s="6" t="s">
        <v>274</v>
      </c>
      <c r="B196" s="6" t="s">
        <v>275</v>
      </c>
      <c r="C196" s="8">
        <v>23.6</v>
      </c>
      <c r="D196" s="8">
        <v>20.100000000000001</v>
      </c>
      <c r="E196" s="8">
        <v>22.6</v>
      </c>
      <c r="F196" s="8">
        <v>26.6</v>
      </c>
      <c r="G196" s="8">
        <v>27.8</v>
      </c>
      <c r="H196" s="8">
        <v>16.2</v>
      </c>
      <c r="I196" s="8">
        <v>8.8000000000000007</v>
      </c>
      <c r="J196" s="8">
        <v>8.6</v>
      </c>
      <c r="K196" s="8">
        <v>7.6</v>
      </c>
      <c r="L196" s="8">
        <v>10.5</v>
      </c>
      <c r="M196" s="8">
        <v>23.9</v>
      </c>
      <c r="N196" s="8">
        <v>33.4</v>
      </c>
      <c r="O196" s="28">
        <f>IF('Well Summary'!I196&gt;0,'Well Summary'!F196/('Well Summary'!I196/24),0)</f>
        <v>18.629158015037593</v>
      </c>
    </row>
    <row r="197" spans="1:15" ht="15" customHeight="1" x14ac:dyDescent="0.3">
      <c r="A197" s="6" t="s">
        <v>277</v>
      </c>
      <c r="B197" s="6" t="s">
        <v>278</v>
      </c>
      <c r="C197" s="8">
        <v>19.399999999999999</v>
      </c>
      <c r="D197" s="8">
        <v>19.5</v>
      </c>
      <c r="E197" s="8">
        <v>18</v>
      </c>
      <c r="F197" s="8">
        <v>7.7</v>
      </c>
      <c r="G197" s="8">
        <v>16</v>
      </c>
      <c r="H197" s="8">
        <v>18</v>
      </c>
      <c r="I197" s="8">
        <v>17</v>
      </c>
      <c r="J197" s="8">
        <v>22.2</v>
      </c>
      <c r="K197" s="8">
        <v>19.2</v>
      </c>
      <c r="L197" s="8">
        <v>20.2</v>
      </c>
      <c r="M197" s="8">
        <v>12.4</v>
      </c>
      <c r="N197" s="8">
        <v>14.7</v>
      </c>
      <c r="O197" s="28">
        <f>IF('Well Summary'!I197&gt;0,'Well Summary'!F197/('Well Summary'!I197/24),0)</f>
        <v>17.038009291628335</v>
      </c>
    </row>
    <row r="198" spans="1:15" ht="15" customHeight="1" x14ac:dyDescent="0.3">
      <c r="A198" s="6" t="s">
        <v>482</v>
      </c>
      <c r="B198" s="6" t="s">
        <v>367</v>
      </c>
      <c r="C198" s="8"/>
      <c r="D198" s="8"/>
      <c r="E198" s="8"/>
      <c r="F198" s="8"/>
      <c r="G198" s="8"/>
      <c r="H198" s="8">
        <v>82.4</v>
      </c>
      <c r="I198" s="8">
        <v>61.2</v>
      </c>
      <c r="J198" s="8">
        <v>53.5</v>
      </c>
      <c r="K198" s="8">
        <v>20.6</v>
      </c>
      <c r="L198" s="8"/>
      <c r="M198" s="8"/>
      <c r="N198" s="8"/>
      <c r="O198" s="28">
        <f>IF('Well Summary'!I198&gt;0,'Well Summary'!F198/('Well Summary'!I198/24),0)</f>
        <v>58.584994285714288</v>
      </c>
    </row>
    <row r="199" spans="1:15" ht="15" customHeight="1" x14ac:dyDescent="0.3">
      <c r="A199" s="6" t="s">
        <v>280</v>
      </c>
      <c r="B199" s="6" t="s">
        <v>275</v>
      </c>
      <c r="C199" s="8">
        <v>26.8</v>
      </c>
      <c r="D199" s="8">
        <v>19.7</v>
      </c>
      <c r="E199" s="8">
        <v>18.899999999999999</v>
      </c>
      <c r="F199" s="8">
        <v>22.2</v>
      </c>
      <c r="G199" s="8">
        <v>27.2</v>
      </c>
      <c r="H199" s="8">
        <v>26.6</v>
      </c>
      <c r="I199" s="8">
        <v>8.5</v>
      </c>
      <c r="J199" s="8">
        <v>8.4</v>
      </c>
      <c r="K199" s="8">
        <v>5.5</v>
      </c>
      <c r="L199" s="8">
        <v>6.8</v>
      </c>
      <c r="M199" s="8">
        <v>16.100000000000001</v>
      </c>
      <c r="N199" s="8">
        <v>14.7</v>
      </c>
      <c r="O199" s="28">
        <f>IF('Well Summary'!I199&gt;0,'Well Summary'!F199/('Well Summary'!I199/24),0)</f>
        <v>16.75327002739726</v>
      </c>
    </row>
    <row r="200" spans="1:15" ht="15" customHeight="1" x14ac:dyDescent="0.3">
      <c r="A200" s="6" t="s">
        <v>281</v>
      </c>
      <c r="B200" s="6" t="s">
        <v>123</v>
      </c>
      <c r="C200" s="8">
        <v>25.8</v>
      </c>
      <c r="D200" s="8">
        <v>21</v>
      </c>
      <c r="E200" s="8">
        <v>19.399999999999999</v>
      </c>
      <c r="F200" s="8">
        <v>17.100000000000001</v>
      </c>
      <c r="G200" s="8">
        <v>17.100000000000001</v>
      </c>
      <c r="H200" s="8">
        <v>17.7</v>
      </c>
      <c r="I200" s="8">
        <v>15.7</v>
      </c>
      <c r="J200" s="8">
        <v>14.4</v>
      </c>
      <c r="K200" s="8">
        <v>13.2</v>
      </c>
      <c r="L200" s="8">
        <v>13.9</v>
      </c>
      <c r="M200" s="8">
        <v>13.4</v>
      </c>
      <c r="N200" s="8">
        <v>13.8</v>
      </c>
      <c r="O200" s="28">
        <f>IF('Well Summary'!I200&gt;0,'Well Summary'!F200/('Well Summary'!I200/24),0)</f>
        <v>16.902569836445888</v>
      </c>
    </row>
    <row r="201" spans="1:15" ht="15" customHeight="1" x14ac:dyDescent="0.3">
      <c r="A201" s="6" t="s">
        <v>282</v>
      </c>
      <c r="B201" s="6" t="s">
        <v>266</v>
      </c>
      <c r="C201" s="8">
        <v>24.7</v>
      </c>
      <c r="D201" s="8">
        <v>18.399999999999999</v>
      </c>
      <c r="E201" s="8">
        <v>10</v>
      </c>
      <c r="F201" s="8">
        <v>12.6</v>
      </c>
      <c r="G201" s="8">
        <v>16.8</v>
      </c>
      <c r="H201" s="8">
        <v>13</v>
      </c>
      <c r="I201" s="8">
        <v>13.6</v>
      </c>
      <c r="J201" s="8">
        <v>7.2</v>
      </c>
      <c r="K201" s="8">
        <v>16.399999999999999</v>
      </c>
      <c r="L201" s="8">
        <v>26.5</v>
      </c>
      <c r="M201" s="8">
        <v>21.7</v>
      </c>
      <c r="N201" s="8">
        <v>18.8</v>
      </c>
      <c r="O201" s="28">
        <f>IF('Well Summary'!I201&gt;0,'Well Summary'!F201/('Well Summary'!I201/24),0)</f>
        <v>16.583003034419246</v>
      </c>
    </row>
    <row r="202" spans="1:15" ht="15" customHeight="1" x14ac:dyDescent="0.3">
      <c r="A202" s="6" t="s">
        <v>283</v>
      </c>
      <c r="B202" s="6" t="s">
        <v>217</v>
      </c>
      <c r="C202" s="8">
        <v>19.600000000000001</v>
      </c>
      <c r="D202" s="8">
        <v>20.3</v>
      </c>
      <c r="E202" s="8">
        <v>19.7</v>
      </c>
      <c r="F202" s="8">
        <v>20.399999999999999</v>
      </c>
      <c r="G202" s="8">
        <v>21.8</v>
      </c>
      <c r="H202" s="8">
        <v>11.4</v>
      </c>
      <c r="I202" s="8">
        <v>17.5</v>
      </c>
      <c r="J202" s="8">
        <v>17.7</v>
      </c>
      <c r="K202" s="8">
        <v>18.600000000000001</v>
      </c>
      <c r="L202" s="8">
        <v>10.9</v>
      </c>
      <c r="M202" s="8">
        <v>10.1</v>
      </c>
      <c r="N202" s="8">
        <v>18.7</v>
      </c>
      <c r="O202" s="28">
        <f>IF('Well Summary'!I202&gt;0,'Well Summary'!F202/('Well Summary'!I202/24),0)</f>
        <v>17.270905041955487</v>
      </c>
    </row>
    <row r="203" spans="1:15" ht="15" customHeight="1" x14ac:dyDescent="0.3">
      <c r="A203" s="6" t="s">
        <v>380</v>
      </c>
      <c r="B203" s="6" t="s">
        <v>266</v>
      </c>
      <c r="C203" s="8">
        <v>25.7</v>
      </c>
      <c r="D203" s="8">
        <v>19.8</v>
      </c>
      <c r="E203" s="8">
        <v>20.100000000000001</v>
      </c>
      <c r="F203" s="8">
        <v>23</v>
      </c>
      <c r="G203" s="8">
        <v>22.4</v>
      </c>
      <c r="H203" s="8">
        <v>20.6</v>
      </c>
      <c r="I203" s="8">
        <v>16.7</v>
      </c>
      <c r="J203" s="8">
        <v>15.6</v>
      </c>
      <c r="K203" s="8">
        <v>18.8</v>
      </c>
      <c r="L203" s="8">
        <v>13</v>
      </c>
      <c r="M203" s="8">
        <v>14.5</v>
      </c>
      <c r="N203" s="8">
        <v>7.9</v>
      </c>
      <c r="O203" s="28">
        <f>IF('Well Summary'!I203&gt;0,'Well Summary'!F203/('Well Summary'!I203/24),0)</f>
        <v>17.577436865468073</v>
      </c>
    </row>
    <row r="204" spans="1:15" ht="15" customHeight="1" x14ac:dyDescent="0.3">
      <c r="A204" s="6" t="s">
        <v>284</v>
      </c>
      <c r="B204" s="6" t="s">
        <v>135</v>
      </c>
      <c r="C204" s="8">
        <v>10.3</v>
      </c>
      <c r="D204" s="8">
        <v>15.1</v>
      </c>
      <c r="E204" s="8">
        <v>15.5</v>
      </c>
      <c r="F204" s="8">
        <v>17.2</v>
      </c>
      <c r="G204" s="8">
        <v>17.399999999999999</v>
      </c>
      <c r="H204" s="8">
        <v>16.600000000000001</v>
      </c>
      <c r="I204" s="8">
        <v>16.399999999999999</v>
      </c>
      <c r="J204" s="8">
        <v>15.8</v>
      </c>
      <c r="K204" s="8">
        <v>17.3</v>
      </c>
      <c r="L204" s="8">
        <v>17.8</v>
      </c>
      <c r="M204" s="8">
        <v>15.9</v>
      </c>
      <c r="N204" s="8">
        <v>16.600000000000001</v>
      </c>
      <c r="O204" s="28">
        <f>IF('Well Summary'!I204&gt;0,'Well Summary'!F204/('Well Summary'!I204/24),0)</f>
        <v>15.974141448738717</v>
      </c>
    </row>
    <row r="205" spans="1:15" ht="15" customHeight="1" x14ac:dyDescent="0.3">
      <c r="A205" s="6" t="s">
        <v>285</v>
      </c>
      <c r="B205" s="6" t="s">
        <v>286</v>
      </c>
      <c r="C205" s="8">
        <v>17.8</v>
      </c>
      <c r="D205" s="8">
        <v>19.2</v>
      </c>
      <c r="E205" s="8">
        <v>19.3</v>
      </c>
      <c r="F205" s="8">
        <v>19.2</v>
      </c>
      <c r="G205" s="8">
        <v>14.1</v>
      </c>
      <c r="H205" s="8">
        <v>10</v>
      </c>
      <c r="I205" s="8">
        <v>13.4</v>
      </c>
      <c r="J205" s="8">
        <v>6.4</v>
      </c>
      <c r="K205" s="8">
        <v>15.4</v>
      </c>
      <c r="L205" s="8">
        <v>29.3</v>
      </c>
      <c r="M205" s="8">
        <v>23.8</v>
      </c>
      <c r="N205" s="8">
        <v>1</v>
      </c>
      <c r="O205" s="28">
        <f>IF('Well Summary'!I205&gt;0,'Well Summary'!F205/('Well Summary'!I205/24),0)</f>
        <v>15.71120612361476</v>
      </c>
    </row>
    <row r="206" spans="1:15" ht="15" customHeight="1" x14ac:dyDescent="0.3">
      <c r="A206" s="6" t="s">
        <v>288</v>
      </c>
      <c r="B206" s="6" t="s">
        <v>289</v>
      </c>
      <c r="C206" s="8">
        <v>10.199999999999999</v>
      </c>
      <c r="D206" s="8">
        <v>13</v>
      </c>
      <c r="E206" s="8">
        <v>13.1</v>
      </c>
      <c r="F206" s="8">
        <v>13.9</v>
      </c>
      <c r="G206" s="8">
        <v>13.5</v>
      </c>
      <c r="H206" s="8">
        <v>11.5</v>
      </c>
      <c r="I206" s="8">
        <v>14.8</v>
      </c>
      <c r="J206" s="8">
        <v>13.7</v>
      </c>
      <c r="K206" s="8">
        <v>18.8</v>
      </c>
      <c r="L206" s="8">
        <v>18.2</v>
      </c>
      <c r="M206" s="8">
        <v>25.1</v>
      </c>
      <c r="N206" s="8">
        <v>23.5</v>
      </c>
      <c r="O206" s="28">
        <f>IF('Well Summary'!I206&gt;0,'Well Summary'!F206/('Well Summary'!I206/24),0)</f>
        <v>15.857317172093021</v>
      </c>
    </row>
    <row r="207" spans="1:15" ht="15" customHeight="1" x14ac:dyDescent="0.3">
      <c r="A207" s="6" t="s">
        <v>291</v>
      </c>
      <c r="B207" s="6" t="s">
        <v>292</v>
      </c>
      <c r="C207" s="8">
        <v>21.5</v>
      </c>
      <c r="D207" s="8">
        <v>21.2</v>
      </c>
      <c r="E207" s="8">
        <v>19.5</v>
      </c>
      <c r="F207" s="8">
        <v>23.9</v>
      </c>
      <c r="G207" s="8">
        <v>21.2</v>
      </c>
      <c r="H207" s="8">
        <v>16.2</v>
      </c>
      <c r="I207" s="8">
        <v>12.7</v>
      </c>
      <c r="J207" s="8">
        <v>13</v>
      </c>
      <c r="K207" s="8">
        <v>13</v>
      </c>
      <c r="L207" s="8">
        <v>13.5</v>
      </c>
      <c r="M207" s="8">
        <v>13.3</v>
      </c>
      <c r="N207" s="8">
        <v>13</v>
      </c>
      <c r="O207" s="28">
        <f>IF('Well Summary'!I207&gt;0,'Well Summary'!F207/('Well Summary'!I207/24),0)</f>
        <v>16.497246857142855</v>
      </c>
    </row>
    <row r="208" spans="1:15" ht="15" customHeight="1" x14ac:dyDescent="0.3">
      <c r="A208" s="6" t="s">
        <v>294</v>
      </c>
      <c r="B208" s="6" t="s">
        <v>68</v>
      </c>
      <c r="C208" s="8">
        <v>19.899999999999999</v>
      </c>
      <c r="D208" s="8">
        <v>20.8</v>
      </c>
      <c r="E208" s="8">
        <v>13</v>
      </c>
      <c r="F208" s="8">
        <v>13.8</v>
      </c>
      <c r="G208" s="8">
        <v>15.5</v>
      </c>
      <c r="H208" s="8">
        <v>15.8</v>
      </c>
      <c r="I208" s="8">
        <v>15.1</v>
      </c>
      <c r="J208" s="8">
        <v>15</v>
      </c>
      <c r="K208" s="8">
        <v>13.6</v>
      </c>
      <c r="L208" s="8">
        <v>17.3</v>
      </c>
      <c r="M208" s="8">
        <v>17.7</v>
      </c>
      <c r="N208" s="8">
        <v>19.5</v>
      </c>
      <c r="O208" s="28">
        <f>IF('Well Summary'!I208&gt;0,'Well Summary'!F208/('Well Summary'!I208/24),0)</f>
        <v>16.573672730811335</v>
      </c>
    </row>
    <row r="209" spans="1:15" ht="15" customHeight="1" x14ac:dyDescent="0.3">
      <c r="A209" s="6" t="s">
        <v>295</v>
      </c>
      <c r="B209" s="6" t="s">
        <v>296</v>
      </c>
      <c r="C209" s="8">
        <v>15.6</v>
      </c>
      <c r="D209" s="8">
        <v>15.9</v>
      </c>
      <c r="E209" s="8">
        <v>16.899999999999999</v>
      </c>
      <c r="F209" s="8">
        <v>12.7</v>
      </c>
      <c r="G209" s="8">
        <v>11.7</v>
      </c>
      <c r="H209" s="8">
        <v>19.600000000000001</v>
      </c>
      <c r="I209" s="8">
        <v>16.399999999999999</v>
      </c>
      <c r="J209" s="8">
        <v>17.399999999999999</v>
      </c>
      <c r="K209" s="8">
        <v>16.7</v>
      </c>
      <c r="L209" s="8">
        <v>17.7</v>
      </c>
      <c r="M209" s="8">
        <v>17.3</v>
      </c>
      <c r="N209" s="8">
        <v>16.399999999999999</v>
      </c>
      <c r="O209" s="28">
        <f>IF('Well Summary'!I209&gt;0,'Well Summary'!F209/('Well Summary'!I209/24),0)</f>
        <v>16.065513253012046</v>
      </c>
    </row>
    <row r="210" spans="1:15" ht="15" customHeight="1" x14ac:dyDescent="0.3">
      <c r="A210" s="6" t="s">
        <v>298</v>
      </c>
      <c r="B210" s="6" t="s">
        <v>299</v>
      </c>
      <c r="C210" s="8">
        <v>15.4</v>
      </c>
      <c r="D210" s="8">
        <v>15.1</v>
      </c>
      <c r="E210" s="8">
        <v>18.2</v>
      </c>
      <c r="F210" s="8">
        <v>22</v>
      </c>
      <c r="G210" s="8">
        <v>24.9</v>
      </c>
      <c r="H210" s="8">
        <v>19.600000000000001</v>
      </c>
      <c r="I210" s="8">
        <v>16.5</v>
      </c>
      <c r="J210" s="8">
        <v>17.100000000000001</v>
      </c>
      <c r="K210" s="8">
        <v>15.4</v>
      </c>
      <c r="L210" s="8">
        <v>15.3</v>
      </c>
      <c r="M210" s="8">
        <v>16.3</v>
      </c>
      <c r="N210" s="8">
        <v>14.7</v>
      </c>
      <c r="O210" s="28">
        <f>IF('Well Summary'!I210&gt;0,'Well Summary'!F210/('Well Summary'!I210/24),0)</f>
        <v>17.134937582138779</v>
      </c>
    </row>
    <row r="211" spans="1:15" ht="15" customHeight="1" x14ac:dyDescent="0.3">
      <c r="A211" s="6" t="s">
        <v>301</v>
      </c>
      <c r="B211" s="6" t="s">
        <v>302</v>
      </c>
      <c r="C211" s="8">
        <v>3.8</v>
      </c>
      <c r="D211" s="8">
        <v>24.7</v>
      </c>
      <c r="E211" s="8">
        <v>27.2</v>
      </c>
      <c r="F211" s="8">
        <v>17.2</v>
      </c>
      <c r="G211" s="8">
        <v>15.3</v>
      </c>
      <c r="H211" s="8">
        <v>17.5</v>
      </c>
      <c r="I211" s="8">
        <v>12.5</v>
      </c>
      <c r="J211" s="8">
        <v>9.1999999999999993</v>
      </c>
      <c r="K211" s="8">
        <v>10</v>
      </c>
      <c r="L211" s="8">
        <v>20.3</v>
      </c>
      <c r="M211" s="8">
        <v>20.100000000000001</v>
      </c>
      <c r="N211" s="8">
        <v>17.5</v>
      </c>
      <c r="O211" s="28">
        <f>IF('Well Summary'!I211&gt;0,'Well Summary'!F211/('Well Summary'!I211/24),0)</f>
        <v>16.898537885851077</v>
      </c>
    </row>
    <row r="212" spans="1:15" ht="15" customHeight="1" x14ac:dyDescent="0.3">
      <c r="A212" s="6" t="s">
        <v>304</v>
      </c>
      <c r="B212" s="6" t="s">
        <v>235</v>
      </c>
      <c r="C212" s="8">
        <v>11.4</v>
      </c>
      <c r="D212" s="8">
        <v>18.899999999999999</v>
      </c>
      <c r="E212" s="8">
        <v>18.3</v>
      </c>
      <c r="F212" s="8">
        <v>18.600000000000001</v>
      </c>
      <c r="G212" s="8">
        <v>16.7</v>
      </c>
      <c r="H212" s="8">
        <v>17.3</v>
      </c>
      <c r="I212" s="8">
        <v>16.8</v>
      </c>
      <c r="J212" s="8">
        <v>11.4</v>
      </c>
      <c r="K212" s="8">
        <v>9.6999999999999993</v>
      </c>
      <c r="L212" s="8">
        <v>11.6</v>
      </c>
      <c r="M212" s="8">
        <v>14.5</v>
      </c>
      <c r="N212" s="8">
        <v>14.7</v>
      </c>
      <c r="O212" s="28">
        <f>IF('Well Summary'!I212&gt;0,'Well Summary'!F212/('Well Summary'!I212/24),0)</f>
        <v>14.950087762358068</v>
      </c>
    </row>
    <row r="213" spans="1:15" ht="15" customHeight="1" x14ac:dyDescent="0.3">
      <c r="A213" s="6" t="s">
        <v>305</v>
      </c>
      <c r="B213" s="6" t="s">
        <v>185</v>
      </c>
      <c r="C213" s="8">
        <v>33.6</v>
      </c>
      <c r="D213" s="8">
        <v>32</v>
      </c>
      <c r="E213" s="8">
        <v>33.4</v>
      </c>
      <c r="F213" s="8">
        <v>27.5</v>
      </c>
      <c r="G213" s="8">
        <v>10.1</v>
      </c>
      <c r="H213" s="8">
        <v>4.8</v>
      </c>
      <c r="I213" s="8">
        <v>5.0999999999999996</v>
      </c>
      <c r="J213" s="8">
        <v>5.2</v>
      </c>
      <c r="K213" s="8">
        <v>6.7</v>
      </c>
      <c r="L213" s="8">
        <v>7.4</v>
      </c>
      <c r="M213" s="8">
        <v>6.8</v>
      </c>
      <c r="N213" s="8">
        <v>6.4</v>
      </c>
      <c r="O213" s="28">
        <f>IF('Well Summary'!I213&gt;0,'Well Summary'!F213/('Well Summary'!I213/24),0)</f>
        <v>14.817984460431655</v>
      </c>
    </row>
    <row r="214" spans="1:15" ht="15" customHeight="1" x14ac:dyDescent="0.3">
      <c r="A214" s="6" t="s">
        <v>306</v>
      </c>
      <c r="B214" s="6" t="s">
        <v>307</v>
      </c>
      <c r="C214" s="8">
        <v>16.899999999999999</v>
      </c>
      <c r="D214" s="8">
        <v>17.899999999999999</v>
      </c>
      <c r="E214" s="8">
        <v>17.2</v>
      </c>
      <c r="F214" s="8">
        <v>14.4</v>
      </c>
      <c r="G214" s="8">
        <v>11.4</v>
      </c>
      <c r="H214" s="8">
        <v>6.7</v>
      </c>
      <c r="I214" s="8">
        <v>4.5</v>
      </c>
      <c r="J214" s="8">
        <v>4.9000000000000004</v>
      </c>
      <c r="K214" s="8">
        <v>11.4</v>
      </c>
      <c r="L214" s="8">
        <v>20.399999999999999</v>
      </c>
      <c r="M214" s="8">
        <v>27.7</v>
      </c>
      <c r="N214" s="8">
        <v>25</v>
      </c>
      <c r="O214" s="28">
        <f>IF('Well Summary'!I214&gt;0,'Well Summary'!F214/('Well Summary'!I214/24),0)</f>
        <v>14.799290241255916</v>
      </c>
    </row>
    <row r="215" spans="1:15" ht="15" customHeight="1" x14ac:dyDescent="0.3">
      <c r="A215" s="6" t="s">
        <v>381</v>
      </c>
      <c r="B215" s="6" t="s">
        <v>68</v>
      </c>
      <c r="C215" s="8">
        <v>25.2</v>
      </c>
      <c r="D215" s="8">
        <v>16.7</v>
      </c>
      <c r="E215" s="8">
        <v>14.2</v>
      </c>
      <c r="F215" s="8">
        <v>20.399999999999999</v>
      </c>
      <c r="G215" s="8">
        <v>24.4</v>
      </c>
      <c r="H215" s="8">
        <v>20.9</v>
      </c>
      <c r="I215" s="8">
        <v>23.4</v>
      </c>
      <c r="J215" s="8">
        <v>17.2</v>
      </c>
      <c r="K215" s="8">
        <v>17.600000000000001</v>
      </c>
      <c r="L215" s="8">
        <v>13.2</v>
      </c>
      <c r="M215" s="8">
        <v>13</v>
      </c>
      <c r="N215" s="8">
        <v>14.6</v>
      </c>
      <c r="O215" s="28">
        <f>IF('Well Summary'!I215&gt;0,'Well Summary'!F215/('Well Summary'!I215/24),0)</f>
        <v>17.410361216814159</v>
      </c>
    </row>
    <row r="216" spans="1:15" ht="15" customHeight="1" x14ac:dyDescent="0.3">
      <c r="A216" s="6" t="s">
        <v>309</v>
      </c>
      <c r="B216" s="6" t="s">
        <v>185</v>
      </c>
      <c r="C216" s="8">
        <v>15.9</v>
      </c>
      <c r="D216" s="8">
        <v>16.2</v>
      </c>
      <c r="E216" s="8">
        <v>19.3</v>
      </c>
      <c r="F216" s="8">
        <v>22.1</v>
      </c>
      <c r="G216" s="8">
        <v>13</v>
      </c>
      <c r="H216" s="8">
        <v>16.899999999999999</v>
      </c>
      <c r="I216" s="8">
        <v>20.5</v>
      </c>
      <c r="J216" s="8">
        <v>10.4</v>
      </c>
      <c r="K216" s="8">
        <v>9.5</v>
      </c>
      <c r="L216" s="8">
        <v>9.8000000000000007</v>
      </c>
      <c r="M216" s="8">
        <v>5.2</v>
      </c>
      <c r="N216" s="8">
        <v>3.8</v>
      </c>
      <c r="O216" s="28">
        <f>IF('Well Summary'!I216&gt;0,'Well Summary'!F216/('Well Summary'!I216/24),0)</f>
        <v>13.502595108508437</v>
      </c>
    </row>
    <row r="217" spans="1:15" ht="15" customHeight="1" x14ac:dyDescent="0.3">
      <c r="A217" s="6" t="s">
        <v>310</v>
      </c>
      <c r="B217" s="6" t="s">
        <v>311</v>
      </c>
      <c r="C217" s="8">
        <v>18.2</v>
      </c>
      <c r="D217" s="8">
        <v>17.3</v>
      </c>
      <c r="E217" s="8">
        <v>18.100000000000001</v>
      </c>
      <c r="F217" s="8">
        <v>16.899999999999999</v>
      </c>
      <c r="G217" s="8">
        <v>17.3</v>
      </c>
      <c r="H217" s="8">
        <v>5.9</v>
      </c>
      <c r="I217" s="8">
        <v>14.9</v>
      </c>
      <c r="J217" s="8">
        <v>13.8</v>
      </c>
      <c r="K217" s="8">
        <v>18</v>
      </c>
      <c r="L217" s="8">
        <v>18</v>
      </c>
      <c r="M217" s="8">
        <v>0.9</v>
      </c>
      <c r="N217" s="8">
        <v>0.9</v>
      </c>
      <c r="O217" s="28">
        <f>IF('Well Summary'!I217&gt;0,'Well Summary'!F217/('Well Summary'!I217/24),0)</f>
        <v>13.350014259597804</v>
      </c>
    </row>
    <row r="218" spans="1:15" ht="15" customHeight="1" x14ac:dyDescent="0.3">
      <c r="A218" s="6" t="s">
        <v>382</v>
      </c>
      <c r="B218" s="6" t="s">
        <v>315</v>
      </c>
      <c r="C218" s="8">
        <v>57.6</v>
      </c>
      <c r="D218" s="8">
        <v>25.8</v>
      </c>
      <c r="E218" s="8">
        <v>25.3</v>
      </c>
      <c r="F218" s="8">
        <v>13.4</v>
      </c>
      <c r="G218" s="8">
        <v>16.5</v>
      </c>
      <c r="H218" s="8">
        <v>16.3</v>
      </c>
      <c r="I218" s="8">
        <v>11.7</v>
      </c>
      <c r="J218" s="8">
        <v>7.5</v>
      </c>
      <c r="K218" s="8">
        <v>7.5</v>
      </c>
      <c r="L218" s="8">
        <v>7.2</v>
      </c>
      <c r="M218" s="8">
        <v>10.5</v>
      </c>
      <c r="N218" s="8">
        <v>9.1999999999999993</v>
      </c>
      <c r="O218" s="28">
        <f>IF('Well Summary'!I218&gt;0,'Well Summary'!F218/('Well Summary'!I218/24),0)</f>
        <v>14.22847797543729</v>
      </c>
    </row>
    <row r="219" spans="1:15" ht="15" customHeight="1" x14ac:dyDescent="0.3">
      <c r="A219" s="6" t="s">
        <v>313</v>
      </c>
      <c r="B219" s="6" t="s">
        <v>89</v>
      </c>
      <c r="C219" s="8">
        <v>27.7</v>
      </c>
      <c r="D219" s="8">
        <v>27.7</v>
      </c>
      <c r="E219" s="8">
        <v>26.1</v>
      </c>
      <c r="F219" s="8">
        <v>22.1</v>
      </c>
      <c r="G219" s="8">
        <v>9.9</v>
      </c>
      <c r="H219" s="8">
        <v>6.5</v>
      </c>
      <c r="I219" s="8">
        <v>6.1</v>
      </c>
      <c r="J219" s="8">
        <v>6.2</v>
      </c>
      <c r="K219" s="8">
        <v>13.1</v>
      </c>
      <c r="L219" s="8">
        <v>9.6</v>
      </c>
      <c r="M219" s="8">
        <v>6.9</v>
      </c>
      <c r="N219" s="8">
        <v>5</v>
      </c>
      <c r="O219" s="28">
        <f>IF('Well Summary'!I219&gt;0,'Well Summary'!F219/('Well Summary'!I219/24),0)</f>
        <v>13.639487988540049</v>
      </c>
    </row>
    <row r="220" spans="1:15" ht="15" customHeight="1" x14ac:dyDescent="0.3">
      <c r="A220" s="6" t="s">
        <v>314</v>
      </c>
      <c r="B220" s="6" t="s">
        <v>315</v>
      </c>
      <c r="C220" s="8">
        <v>15.3</v>
      </c>
      <c r="D220" s="8">
        <v>15.8</v>
      </c>
      <c r="E220" s="8">
        <v>14.4</v>
      </c>
      <c r="F220" s="8">
        <v>15.2</v>
      </c>
      <c r="G220" s="8">
        <v>14.9</v>
      </c>
      <c r="H220" s="8">
        <v>13.4</v>
      </c>
      <c r="I220" s="8">
        <v>5.5</v>
      </c>
      <c r="J220" s="8">
        <v>5.6</v>
      </c>
      <c r="K220" s="8">
        <v>9.8000000000000007</v>
      </c>
      <c r="L220" s="8">
        <v>14.9</v>
      </c>
      <c r="M220" s="8">
        <v>17.7</v>
      </c>
      <c r="N220" s="8">
        <v>16.100000000000001</v>
      </c>
      <c r="O220" s="28">
        <f>IF('Well Summary'!I220&gt;0,'Well Summary'!F220/('Well Summary'!I220/24),0)</f>
        <v>13.376740694183866</v>
      </c>
    </row>
    <row r="221" spans="1:15" ht="15" customHeight="1" x14ac:dyDescent="0.3">
      <c r="A221" s="6" t="s">
        <v>317</v>
      </c>
      <c r="B221" s="6" t="s">
        <v>225</v>
      </c>
      <c r="C221" s="8">
        <v>19.7</v>
      </c>
      <c r="D221" s="8">
        <v>15.4</v>
      </c>
      <c r="E221" s="8">
        <v>15.3</v>
      </c>
      <c r="F221" s="8">
        <v>18.899999999999999</v>
      </c>
      <c r="G221" s="8">
        <v>7.8</v>
      </c>
      <c r="H221" s="8">
        <v>6.6</v>
      </c>
      <c r="I221" s="8">
        <v>17.899999999999999</v>
      </c>
      <c r="J221" s="8">
        <v>16.8</v>
      </c>
      <c r="K221" s="8">
        <v>11.8</v>
      </c>
      <c r="L221" s="8">
        <v>8</v>
      </c>
      <c r="M221" s="8">
        <v>7.3</v>
      </c>
      <c r="N221" s="8">
        <v>10</v>
      </c>
      <c r="O221" s="28">
        <f>IF('Well Summary'!I221&gt;0,'Well Summary'!F221/('Well Summary'!I221/24),0)</f>
        <v>12.958934047564071</v>
      </c>
    </row>
    <row r="222" spans="1:15" ht="15" customHeight="1" x14ac:dyDescent="0.3">
      <c r="A222" s="6" t="s">
        <v>318</v>
      </c>
      <c r="B222" s="6" t="s">
        <v>95</v>
      </c>
      <c r="C222" s="8">
        <v>17.399999999999999</v>
      </c>
      <c r="D222" s="8">
        <v>18.2</v>
      </c>
      <c r="E222" s="8">
        <v>11.4</v>
      </c>
      <c r="F222" s="8">
        <v>8.1999999999999993</v>
      </c>
      <c r="G222" s="8">
        <v>11.4</v>
      </c>
      <c r="H222" s="8">
        <v>11.4</v>
      </c>
      <c r="I222" s="8">
        <v>13.1</v>
      </c>
      <c r="J222" s="8">
        <v>13.8</v>
      </c>
      <c r="K222" s="8">
        <v>13.7</v>
      </c>
      <c r="L222" s="8">
        <v>14.2</v>
      </c>
      <c r="M222" s="8">
        <v>13.6</v>
      </c>
      <c r="N222" s="8">
        <v>12.4</v>
      </c>
      <c r="O222" s="28">
        <f>IF('Well Summary'!I222&gt;0,'Well Summary'!F222/('Well Summary'!I222/24),0)</f>
        <v>13.421745071911493</v>
      </c>
    </row>
    <row r="223" spans="1:15" ht="15" customHeight="1" x14ac:dyDescent="0.3">
      <c r="A223" s="6" t="s">
        <v>319</v>
      </c>
      <c r="B223" s="6" t="s">
        <v>315</v>
      </c>
      <c r="C223" s="8">
        <v>17.100000000000001</v>
      </c>
      <c r="D223" s="8">
        <v>14.7</v>
      </c>
      <c r="E223" s="8">
        <v>14.8</v>
      </c>
      <c r="F223" s="8">
        <v>19.2</v>
      </c>
      <c r="G223" s="8">
        <v>17.399999999999999</v>
      </c>
      <c r="H223" s="8">
        <v>10.199999999999999</v>
      </c>
      <c r="I223" s="8">
        <v>12.1</v>
      </c>
      <c r="J223" s="8">
        <v>6.4</v>
      </c>
      <c r="K223" s="8">
        <v>4.5</v>
      </c>
      <c r="L223" s="8">
        <v>5.9</v>
      </c>
      <c r="M223" s="8">
        <v>14.1</v>
      </c>
      <c r="N223" s="8">
        <v>13.1</v>
      </c>
      <c r="O223" s="28">
        <f>IF('Well Summary'!I223&gt;0,'Well Summary'!F223/('Well Summary'!I223/24),0)</f>
        <v>12.437200311640696</v>
      </c>
    </row>
    <row r="224" spans="1:15" ht="15" customHeight="1" x14ac:dyDescent="0.3">
      <c r="A224" s="6" t="s">
        <v>320</v>
      </c>
      <c r="B224" s="6" t="s">
        <v>159</v>
      </c>
      <c r="C224" s="8">
        <v>15.2</v>
      </c>
      <c r="D224" s="8">
        <v>15.4</v>
      </c>
      <c r="E224" s="8">
        <v>14.2</v>
      </c>
      <c r="F224" s="8">
        <v>8.6999999999999993</v>
      </c>
      <c r="G224" s="8">
        <v>7.5</v>
      </c>
      <c r="H224" s="8">
        <v>11.3</v>
      </c>
      <c r="I224" s="8">
        <v>14.1</v>
      </c>
      <c r="J224" s="8">
        <v>14.1</v>
      </c>
      <c r="K224" s="8">
        <v>13.5</v>
      </c>
      <c r="L224" s="8">
        <v>14</v>
      </c>
      <c r="M224" s="8">
        <v>12.9</v>
      </c>
      <c r="N224" s="8">
        <v>9.9</v>
      </c>
      <c r="O224" s="28">
        <f>IF('Well Summary'!I224&gt;0,'Well Summary'!F224/('Well Summary'!I224/24),0)</f>
        <v>12.516139039869813</v>
      </c>
    </row>
    <row r="225" spans="1:15" ht="15" customHeight="1" x14ac:dyDescent="0.3">
      <c r="A225" s="6" t="s">
        <v>410</v>
      </c>
      <c r="B225" s="6" t="s">
        <v>55</v>
      </c>
      <c r="C225" s="8">
        <v>12</v>
      </c>
      <c r="D225" s="8">
        <v>36</v>
      </c>
      <c r="E225" s="8">
        <v>56.7</v>
      </c>
      <c r="F225" s="8">
        <v>45.9</v>
      </c>
      <c r="G225" s="8">
        <v>14.1</v>
      </c>
      <c r="H225" s="8">
        <v>8.6999999999999993</v>
      </c>
      <c r="I225" s="8"/>
      <c r="J225" s="8"/>
      <c r="K225" s="8"/>
      <c r="L225" s="8">
        <v>4.5999999999999996</v>
      </c>
      <c r="M225" s="8">
        <v>1.9</v>
      </c>
      <c r="N225" s="8">
        <v>5.2</v>
      </c>
      <c r="O225" s="28">
        <f>IF('Well Summary'!I225&gt;0,'Well Summary'!F225/('Well Summary'!I225/24),0)</f>
        <v>21.053574796460179</v>
      </c>
    </row>
    <row r="226" spans="1:15" ht="15" customHeight="1" x14ac:dyDescent="0.3">
      <c r="A226" s="6" t="s">
        <v>321</v>
      </c>
      <c r="B226" s="6" t="s">
        <v>322</v>
      </c>
      <c r="C226" s="8">
        <v>12.8</v>
      </c>
      <c r="D226" s="8">
        <v>10.9</v>
      </c>
      <c r="E226" s="8">
        <v>10.5</v>
      </c>
      <c r="F226" s="8">
        <v>11.5</v>
      </c>
      <c r="G226" s="8">
        <v>10.7</v>
      </c>
      <c r="H226" s="8">
        <v>10.9</v>
      </c>
      <c r="I226" s="8">
        <v>11.3</v>
      </c>
      <c r="J226" s="8">
        <v>11.2</v>
      </c>
      <c r="K226" s="8">
        <v>12</v>
      </c>
      <c r="L226" s="8">
        <v>12.3</v>
      </c>
      <c r="M226" s="8">
        <v>12.5</v>
      </c>
      <c r="N226" s="8">
        <v>12.3</v>
      </c>
      <c r="O226" s="28">
        <f>IF('Well Summary'!I226&gt;0,'Well Summary'!F226/('Well Summary'!I226/24),0)</f>
        <v>11.582888718300206</v>
      </c>
    </row>
    <row r="227" spans="1:15" ht="15" customHeight="1" x14ac:dyDescent="0.3">
      <c r="A227" s="6" t="s">
        <v>324</v>
      </c>
      <c r="B227" s="6" t="s">
        <v>325</v>
      </c>
      <c r="C227" s="8">
        <v>17.5</v>
      </c>
      <c r="D227" s="8">
        <v>13</v>
      </c>
      <c r="E227" s="8">
        <v>14.2</v>
      </c>
      <c r="F227" s="8">
        <v>17.5</v>
      </c>
      <c r="G227" s="8">
        <v>15.8</v>
      </c>
      <c r="H227" s="8">
        <v>9</v>
      </c>
      <c r="I227" s="8">
        <v>7.8</v>
      </c>
      <c r="J227" s="8">
        <v>10</v>
      </c>
      <c r="K227" s="8">
        <v>10.9</v>
      </c>
      <c r="L227" s="8">
        <v>6.1</v>
      </c>
      <c r="M227" s="8">
        <v>4.7</v>
      </c>
      <c r="N227" s="8">
        <v>3.2</v>
      </c>
      <c r="O227" s="28">
        <f>IF('Well Summary'!I227&gt;0,'Well Summary'!F227/('Well Summary'!I227/24),0)</f>
        <v>10.780030407740151</v>
      </c>
    </row>
    <row r="228" spans="1:15" ht="15" customHeight="1" x14ac:dyDescent="0.3">
      <c r="A228" s="6" t="s">
        <v>412</v>
      </c>
      <c r="B228" s="6" t="s">
        <v>275</v>
      </c>
      <c r="C228" s="8">
        <v>8.1</v>
      </c>
      <c r="D228" s="8">
        <v>6.5</v>
      </c>
      <c r="E228" s="8">
        <v>13.3</v>
      </c>
      <c r="F228" s="8">
        <v>62.8</v>
      </c>
      <c r="G228" s="8">
        <v>77.5</v>
      </c>
      <c r="H228" s="8">
        <v>24</v>
      </c>
      <c r="I228" s="8">
        <v>14.9</v>
      </c>
      <c r="J228" s="8">
        <v>14.1</v>
      </c>
      <c r="K228" s="8">
        <v>11.7</v>
      </c>
      <c r="L228" s="8">
        <v>16</v>
      </c>
      <c r="M228" s="8">
        <v>11.5</v>
      </c>
      <c r="N228" s="8">
        <v>1.3</v>
      </c>
      <c r="O228" s="28">
        <f>IF('Well Summary'!I228&gt;0,'Well Summary'!F228/('Well Summary'!I228/24),0)</f>
        <v>13.183762849120734</v>
      </c>
    </row>
    <row r="229" spans="1:15" ht="15" customHeight="1" x14ac:dyDescent="0.3">
      <c r="A229" s="6" t="s">
        <v>327</v>
      </c>
      <c r="B229" s="6" t="s">
        <v>85</v>
      </c>
      <c r="C229" s="8">
        <v>11.1</v>
      </c>
      <c r="D229" s="8">
        <v>11.1</v>
      </c>
      <c r="E229" s="8">
        <v>10.6</v>
      </c>
      <c r="F229" s="8">
        <v>10.8</v>
      </c>
      <c r="G229" s="8">
        <v>11.4</v>
      </c>
      <c r="H229" s="8">
        <v>10.5</v>
      </c>
      <c r="I229" s="8">
        <v>10.1</v>
      </c>
      <c r="J229" s="8">
        <v>10.8</v>
      </c>
      <c r="K229" s="8">
        <v>10.4</v>
      </c>
      <c r="L229" s="8">
        <v>10.5</v>
      </c>
      <c r="M229" s="8">
        <v>9.9</v>
      </c>
      <c r="N229" s="8">
        <v>10</v>
      </c>
      <c r="O229" s="28">
        <f>IF('Well Summary'!I229&gt;0,'Well Summary'!F229/('Well Summary'!I229/24),0)</f>
        <v>10.597286833013436</v>
      </c>
    </row>
    <row r="230" spans="1:15" ht="15" customHeight="1" x14ac:dyDescent="0.3">
      <c r="A230" s="6" t="s">
        <v>328</v>
      </c>
      <c r="B230" s="6" t="s">
        <v>85</v>
      </c>
      <c r="C230" s="8">
        <v>10.4</v>
      </c>
      <c r="D230" s="8">
        <v>10.4</v>
      </c>
      <c r="E230" s="8">
        <v>9.9</v>
      </c>
      <c r="F230" s="8">
        <v>10.199999999999999</v>
      </c>
      <c r="G230" s="8">
        <v>10.7</v>
      </c>
      <c r="H230" s="8">
        <v>9.9</v>
      </c>
      <c r="I230" s="8">
        <v>9.4</v>
      </c>
      <c r="J230" s="8">
        <v>10.199999999999999</v>
      </c>
      <c r="K230" s="8">
        <v>9.8000000000000007</v>
      </c>
      <c r="L230" s="8">
        <v>9.8000000000000007</v>
      </c>
      <c r="M230" s="8">
        <v>9.3000000000000007</v>
      </c>
      <c r="N230" s="8">
        <v>9.4</v>
      </c>
      <c r="O230" s="28">
        <f>IF('Well Summary'!I230&gt;0,'Well Summary'!F230/('Well Summary'!I230/24),0)</f>
        <v>9.9370855256780128</v>
      </c>
    </row>
    <row r="231" spans="1:15" ht="15" customHeight="1" x14ac:dyDescent="0.3">
      <c r="A231" s="6" t="s">
        <v>329</v>
      </c>
      <c r="B231" s="6" t="s">
        <v>80</v>
      </c>
      <c r="C231" s="8">
        <v>10.1</v>
      </c>
      <c r="D231" s="8">
        <v>10.3</v>
      </c>
      <c r="E231" s="8">
        <v>12</v>
      </c>
      <c r="F231" s="8">
        <v>13.3</v>
      </c>
      <c r="G231" s="8">
        <v>14.3</v>
      </c>
      <c r="H231" s="8">
        <v>12.6</v>
      </c>
      <c r="I231" s="8">
        <v>9.1999999999999993</v>
      </c>
      <c r="J231" s="8">
        <v>9.1999999999999993</v>
      </c>
      <c r="K231" s="8">
        <v>10</v>
      </c>
      <c r="L231" s="8">
        <v>8.8000000000000007</v>
      </c>
      <c r="M231" s="8">
        <v>11.3</v>
      </c>
      <c r="N231" s="8">
        <v>11.3</v>
      </c>
      <c r="O231" s="28">
        <f>IF('Well Summary'!I231&gt;0,'Well Summary'!F231/('Well Summary'!I231/24),0)</f>
        <v>10.780624274445973</v>
      </c>
    </row>
    <row r="232" spans="1:15" ht="15" customHeight="1" x14ac:dyDescent="0.3">
      <c r="A232" s="6" t="s">
        <v>330</v>
      </c>
      <c r="B232" s="6" t="s">
        <v>85</v>
      </c>
      <c r="C232" s="8">
        <v>9.5</v>
      </c>
      <c r="D232" s="8">
        <v>9.5</v>
      </c>
      <c r="E232" s="8">
        <v>9</v>
      </c>
      <c r="F232" s="8">
        <v>9.3000000000000007</v>
      </c>
      <c r="G232" s="8">
        <v>9.8000000000000007</v>
      </c>
      <c r="H232" s="8">
        <v>9</v>
      </c>
      <c r="I232" s="8">
        <v>8.6</v>
      </c>
      <c r="J232" s="8">
        <v>9.3000000000000007</v>
      </c>
      <c r="K232" s="8">
        <v>9</v>
      </c>
      <c r="L232" s="8">
        <v>8.9</v>
      </c>
      <c r="M232" s="8">
        <v>12.5</v>
      </c>
      <c r="N232" s="8">
        <v>15.5</v>
      </c>
      <c r="O232" s="28">
        <f>IF('Well Summary'!I232&gt;0,'Well Summary'!F232/('Well Summary'!I232/24),0)</f>
        <v>10.022075174100385</v>
      </c>
    </row>
    <row r="233" spans="1:15" ht="15" customHeight="1" x14ac:dyDescent="0.3">
      <c r="A233" s="6" t="s">
        <v>415</v>
      </c>
      <c r="B233" s="6" t="s">
        <v>263</v>
      </c>
      <c r="C233" s="8">
        <v>9.1</v>
      </c>
      <c r="D233" s="8">
        <v>9.1</v>
      </c>
      <c r="E233" s="8">
        <v>9</v>
      </c>
      <c r="F233" s="8">
        <v>3.9</v>
      </c>
      <c r="G233" s="8"/>
      <c r="H233" s="8">
        <v>2.7</v>
      </c>
      <c r="I233" s="8">
        <v>3.3</v>
      </c>
      <c r="J233" s="8">
        <v>3.5</v>
      </c>
      <c r="K233" s="8">
        <v>10.5</v>
      </c>
      <c r="L233" s="8">
        <v>15.6</v>
      </c>
      <c r="M233" s="8">
        <v>38.799999999999997</v>
      </c>
      <c r="N233" s="8">
        <v>12.7</v>
      </c>
      <c r="O233" s="28">
        <f>IF('Well Summary'!I233&gt;0,'Well Summary'!F233/('Well Summary'!I233/24),0)</f>
        <v>11.365653246541903</v>
      </c>
    </row>
    <row r="234" spans="1:15" ht="15" customHeight="1" x14ac:dyDescent="0.3">
      <c r="A234" s="6" t="s">
        <v>331</v>
      </c>
      <c r="B234" s="6" t="s">
        <v>292</v>
      </c>
      <c r="C234" s="8">
        <v>10.6</v>
      </c>
      <c r="D234" s="8">
        <v>11.4</v>
      </c>
      <c r="E234" s="8">
        <v>11</v>
      </c>
      <c r="F234" s="8">
        <v>11.7</v>
      </c>
      <c r="G234" s="8">
        <v>11.3</v>
      </c>
      <c r="H234" s="8">
        <v>11.1</v>
      </c>
      <c r="I234" s="8">
        <v>11.2</v>
      </c>
      <c r="J234" s="8">
        <v>8.3000000000000007</v>
      </c>
      <c r="K234" s="8">
        <v>3.5</v>
      </c>
      <c r="L234" s="8">
        <v>5.3</v>
      </c>
      <c r="M234" s="8">
        <v>8.8000000000000007</v>
      </c>
      <c r="N234" s="8">
        <v>8.3000000000000007</v>
      </c>
      <c r="O234" s="28">
        <f>IF('Well Summary'!I234&gt;0,'Well Summary'!F234/('Well Summary'!I234/24),0)</f>
        <v>9.4219880770594493</v>
      </c>
    </row>
    <row r="235" spans="1:15" ht="15" customHeight="1" x14ac:dyDescent="0.3">
      <c r="A235" s="6" t="s">
        <v>332</v>
      </c>
      <c r="B235" s="6" t="s">
        <v>85</v>
      </c>
      <c r="C235" s="8">
        <v>12.6</v>
      </c>
      <c r="D235" s="8">
        <v>9.5</v>
      </c>
      <c r="E235" s="8">
        <v>8.6</v>
      </c>
      <c r="F235" s="8">
        <v>7.8</v>
      </c>
      <c r="G235" s="8">
        <v>8.1</v>
      </c>
      <c r="H235" s="8">
        <v>8.6</v>
      </c>
      <c r="I235" s="8">
        <v>8.1999999999999993</v>
      </c>
      <c r="J235" s="8">
        <v>9.4</v>
      </c>
      <c r="K235" s="8">
        <v>15</v>
      </c>
      <c r="L235" s="8">
        <v>14.9</v>
      </c>
      <c r="M235" s="8">
        <v>9.5</v>
      </c>
      <c r="N235" s="8">
        <v>9.6</v>
      </c>
      <c r="O235" s="28">
        <f>IF('Well Summary'!I235&gt;0,'Well Summary'!F235/('Well Summary'!I235/24),0)</f>
        <v>10.072010860927151</v>
      </c>
    </row>
    <row r="236" spans="1:15" ht="15" customHeight="1" x14ac:dyDescent="0.3">
      <c r="A236" s="6" t="s">
        <v>333</v>
      </c>
      <c r="B236" s="6" t="s">
        <v>173</v>
      </c>
      <c r="C236" s="8">
        <v>9.5</v>
      </c>
      <c r="D236" s="8">
        <v>9.8000000000000007</v>
      </c>
      <c r="E236" s="8">
        <v>10.1</v>
      </c>
      <c r="F236" s="8">
        <v>9.6999999999999993</v>
      </c>
      <c r="G236" s="8">
        <v>6.5</v>
      </c>
      <c r="H236" s="8">
        <v>9.8000000000000007</v>
      </c>
      <c r="I236" s="8">
        <v>15.8</v>
      </c>
      <c r="J236" s="8">
        <v>14.7</v>
      </c>
      <c r="K236" s="8">
        <v>9.6</v>
      </c>
      <c r="L236" s="8">
        <v>6</v>
      </c>
      <c r="M236" s="8">
        <v>7</v>
      </c>
      <c r="N236" s="8">
        <v>10.9</v>
      </c>
      <c r="O236" s="28">
        <f>IF('Well Summary'!I236&gt;0,'Well Summary'!F236/('Well Summary'!I236/24),0)</f>
        <v>9.9053020250284405</v>
      </c>
    </row>
    <row r="237" spans="1:15" ht="15" customHeight="1" x14ac:dyDescent="0.3">
      <c r="A237" s="6" t="s">
        <v>417</v>
      </c>
      <c r="B237" s="6" t="s">
        <v>278</v>
      </c>
      <c r="C237" s="8">
        <v>14.2</v>
      </c>
      <c r="D237" s="8">
        <v>14.7</v>
      </c>
      <c r="E237" s="8">
        <v>14.1</v>
      </c>
      <c r="F237" s="8">
        <v>13.2</v>
      </c>
      <c r="G237" s="8"/>
      <c r="H237" s="8"/>
      <c r="I237" s="8">
        <v>11.6</v>
      </c>
      <c r="J237" s="8">
        <v>11.9</v>
      </c>
      <c r="K237" s="8">
        <v>10.6</v>
      </c>
      <c r="L237" s="8">
        <v>5.9</v>
      </c>
      <c r="M237" s="8">
        <v>10.6</v>
      </c>
      <c r="N237" s="8">
        <v>10.4</v>
      </c>
      <c r="O237" s="28">
        <f>IF('Well Summary'!I237&gt;0,'Well Summary'!F237/('Well Summary'!I237/24),0)</f>
        <v>11.672422739110912</v>
      </c>
    </row>
    <row r="238" spans="1:15" ht="15" customHeight="1" x14ac:dyDescent="0.3">
      <c r="A238" s="6" t="s">
        <v>334</v>
      </c>
      <c r="B238" s="6" t="s">
        <v>278</v>
      </c>
      <c r="C238" s="8">
        <v>10.1</v>
      </c>
      <c r="D238" s="8">
        <v>10.7</v>
      </c>
      <c r="E238" s="8">
        <v>11.7</v>
      </c>
      <c r="F238" s="8">
        <v>13.2</v>
      </c>
      <c r="G238" s="8">
        <v>10.199999999999999</v>
      </c>
      <c r="H238" s="8">
        <v>6.8</v>
      </c>
      <c r="I238" s="8">
        <v>6.5</v>
      </c>
      <c r="J238" s="8">
        <v>6.7</v>
      </c>
      <c r="K238" s="8">
        <v>7.2</v>
      </c>
      <c r="L238" s="8">
        <v>6.3</v>
      </c>
      <c r="M238" s="8">
        <v>7.2</v>
      </c>
      <c r="N238" s="8">
        <v>7</v>
      </c>
      <c r="O238" s="28">
        <f>IF('Well Summary'!I238&gt;0,'Well Summary'!F238/('Well Summary'!I238/24),0)</f>
        <v>8.6245299748110824</v>
      </c>
    </row>
    <row r="239" spans="1:15" ht="15" customHeight="1" x14ac:dyDescent="0.3">
      <c r="A239" s="6" t="s">
        <v>483</v>
      </c>
      <c r="B239" s="6" t="s">
        <v>348</v>
      </c>
      <c r="C239" s="8">
        <v>10.5</v>
      </c>
      <c r="D239" s="8">
        <v>9.8000000000000007</v>
      </c>
      <c r="E239" s="8">
        <v>10.6</v>
      </c>
      <c r="F239" s="8">
        <v>9</v>
      </c>
      <c r="G239" s="8">
        <v>9.6</v>
      </c>
      <c r="H239" s="8">
        <v>8.9</v>
      </c>
      <c r="I239" s="8">
        <v>9.9</v>
      </c>
      <c r="J239" s="8">
        <v>9.4</v>
      </c>
      <c r="K239" s="8">
        <v>8.4</v>
      </c>
      <c r="L239" s="8">
        <v>8.6</v>
      </c>
      <c r="M239" s="8">
        <v>12.3</v>
      </c>
      <c r="N239" s="8"/>
      <c r="O239" s="28">
        <f>IF('Well Summary'!I239&gt;0,'Well Summary'!F239/('Well Summary'!I239/24),0)</f>
        <v>9.6294603045685268</v>
      </c>
    </row>
    <row r="240" spans="1:15" ht="15" customHeight="1" x14ac:dyDescent="0.3">
      <c r="A240" s="6" t="s">
        <v>419</v>
      </c>
      <c r="B240" s="6" t="s">
        <v>322</v>
      </c>
      <c r="C240" s="8">
        <v>64.3</v>
      </c>
      <c r="D240" s="8">
        <v>16.100000000000001</v>
      </c>
      <c r="E240" s="8">
        <v>9.6999999999999993</v>
      </c>
      <c r="F240" s="8">
        <v>16.899999999999999</v>
      </c>
      <c r="G240" s="8">
        <v>13.3</v>
      </c>
      <c r="H240" s="8">
        <v>11.4</v>
      </c>
      <c r="I240" s="8">
        <v>11.5</v>
      </c>
      <c r="J240" s="8">
        <v>9.8000000000000007</v>
      </c>
      <c r="K240" s="8">
        <v>9.3000000000000007</v>
      </c>
      <c r="L240" s="8">
        <v>10.199999999999999</v>
      </c>
      <c r="M240" s="8">
        <v>3.1</v>
      </c>
      <c r="N240" s="8">
        <v>2.7</v>
      </c>
      <c r="O240" s="28">
        <f>IF('Well Summary'!I240&gt;0,'Well Summary'!F240/('Well Summary'!I240/24),0)</f>
        <v>10.357322787535409</v>
      </c>
    </row>
    <row r="241" spans="1:15" ht="15" customHeight="1" x14ac:dyDescent="0.3">
      <c r="A241" s="6" t="s">
        <v>484</v>
      </c>
      <c r="B241" s="6" t="s">
        <v>485</v>
      </c>
      <c r="C241" s="8"/>
      <c r="D241" s="8">
        <v>86</v>
      </c>
      <c r="E241" s="8">
        <v>85.3</v>
      </c>
      <c r="F241" s="8"/>
      <c r="G241" s="8"/>
      <c r="H241" s="8"/>
      <c r="I241" s="8"/>
      <c r="J241" s="8"/>
      <c r="K241" s="8"/>
      <c r="L241" s="8"/>
      <c r="M241" s="8"/>
      <c r="N241" s="8"/>
      <c r="O241" s="28">
        <f>IF('Well Summary'!I241&gt;0,'Well Summary'!F241/('Well Summary'!I241/24),0)</f>
        <v>85.753892957746473</v>
      </c>
    </row>
    <row r="242" spans="1:15" ht="15" customHeight="1" x14ac:dyDescent="0.3">
      <c r="A242" s="6" t="s">
        <v>335</v>
      </c>
      <c r="B242" s="6" t="s">
        <v>185</v>
      </c>
      <c r="C242" s="8">
        <v>11.2</v>
      </c>
      <c r="D242" s="8">
        <v>13.3</v>
      </c>
      <c r="E242" s="8">
        <v>13</v>
      </c>
      <c r="F242" s="8">
        <v>8.8000000000000007</v>
      </c>
      <c r="G242" s="8">
        <v>8.4</v>
      </c>
      <c r="H242" s="8">
        <v>6.9</v>
      </c>
      <c r="I242" s="8">
        <v>6.6</v>
      </c>
      <c r="J242" s="8">
        <v>6.2</v>
      </c>
      <c r="K242" s="8">
        <v>4.7</v>
      </c>
      <c r="L242" s="8">
        <v>7.8</v>
      </c>
      <c r="M242" s="8">
        <v>7.4</v>
      </c>
      <c r="N242" s="8">
        <v>6.1</v>
      </c>
      <c r="O242" s="28">
        <f>IF('Well Summary'!I242&gt;0,'Well Summary'!F242/('Well Summary'!I242/24),0)</f>
        <v>8.3289195339273476</v>
      </c>
    </row>
    <row r="243" spans="1:15" ht="15" customHeight="1" x14ac:dyDescent="0.3">
      <c r="A243" s="6" t="s">
        <v>383</v>
      </c>
      <c r="B243" s="6" t="s">
        <v>242</v>
      </c>
      <c r="C243" s="8"/>
      <c r="D243" s="8">
        <v>10</v>
      </c>
      <c r="E243" s="8">
        <v>15.1</v>
      </c>
      <c r="F243" s="8">
        <v>10.5</v>
      </c>
      <c r="G243" s="8">
        <v>11.9</v>
      </c>
      <c r="H243" s="8">
        <v>10</v>
      </c>
      <c r="I243" s="8">
        <v>7.9</v>
      </c>
      <c r="J243" s="8">
        <v>7.1</v>
      </c>
      <c r="K243" s="8">
        <v>7.3</v>
      </c>
      <c r="L243" s="8">
        <v>7.2</v>
      </c>
      <c r="M243" s="8">
        <v>7.4</v>
      </c>
      <c r="N243" s="8">
        <v>7.2</v>
      </c>
      <c r="O243" s="28">
        <f>IF('Well Summary'!I243&gt;0,'Well Summary'!F243/('Well Summary'!I243/24),0)</f>
        <v>9.2040631872099006</v>
      </c>
    </row>
    <row r="244" spans="1:15" ht="15" customHeight="1" x14ac:dyDescent="0.3">
      <c r="A244" s="6" t="s">
        <v>336</v>
      </c>
      <c r="B244" s="6" t="s">
        <v>299</v>
      </c>
      <c r="C244" s="8">
        <v>9.4</v>
      </c>
      <c r="D244" s="8">
        <v>9.5</v>
      </c>
      <c r="E244" s="8">
        <v>10.8</v>
      </c>
      <c r="F244" s="8">
        <v>14.8</v>
      </c>
      <c r="G244" s="8">
        <v>17.5</v>
      </c>
      <c r="H244" s="8">
        <v>10</v>
      </c>
      <c r="I244" s="8">
        <v>9.3000000000000007</v>
      </c>
      <c r="J244" s="8">
        <v>7.7</v>
      </c>
      <c r="K244" s="8">
        <v>8.4</v>
      </c>
      <c r="L244" s="8">
        <v>7.6</v>
      </c>
      <c r="M244" s="8">
        <v>3.7</v>
      </c>
      <c r="N244" s="8">
        <v>7.4</v>
      </c>
      <c r="O244" s="28">
        <f>IF('Well Summary'!I244&gt;0,'Well Summary'!F244/('Well Summary'!I244/24),0)</f>
        <v>9.1109283863549244</v>
      </c>
    </row>
    <row r="245" spans="1:15" ht="15" customHeight="1" x14ac:dyDescent="0.3">
      <c r="A245" s="6" t="s">
        <v>487</v>
      </c>
      <c r="B245" s="6" t="s">
        <v>461</v>
      </c>
      <c r="C245" s="8"/>
      <c r="D245" s="8"/>
      <c r="E245" s="8"/>
      <c r="F245" s="8">
        <v>29.6</v>
      </c>
      <c r="G245" s="8">
        <v>10.7</v>
      </c>
      <c r="H245" s="8"/>
      <c r="I245" s="8"/>
      <c r="J245" s="8">
        <v>20.3</v>
      </c>
      <c r="K245" s="8">
        <v>23.3</v>
      </c>
      <c r="L245" s="8">
        <v>14.7</v>
      </c>
      <c r="M245" s="8"/>
      <c r="N245" s="8"/>
      <c r="O245" s="28">
        <f>IF('Well Summary'!I245&gt;0,'Well Summary'!F245/('Well Summary'!I245/24),0)</f>
        <v>20.087354204946994</v>
      </c>
    </row>
    <row r="246" spans="1:15" ht="15" customHeight="1" x14ac:dyDescent="0.3">
      <c r="A246" s="6" t="s">
        <v>337</v>
      </c>
      <c r="B246" s="6" t="s">
        <v>325</v>
      </c>
      <c r="C246" s="8">
        <v>10.6</v>
      </c>
      <c r="D246" s="8">
        <v>10.7</v>
      </c>
      <c r="E246" s="8">
        <v>11.7</v>
      </c>
      <c r="F246" s="8">
        <v>10.8</v>
      </c>
      <c r="G246" s="8">
        <v>10.199999999999999</v>
      </c>
      <c r="H246" s="8">
        <v>7.9</v>
      </c>
      <c r="I246" s="8">
        <v>1.1000000000000001</v>
      </c>
      <c r="J246" s="8">
        <v>3.3</v>
      </c>
      <c r="K246" s="8">
        <v>3.4</v>
      </c>
      <c r="L246" s="8">
        <v>4.5</v>
      </c>
      <c r="M246" s="8">
        <v>10.5</v>
      </c>
      <c r="N246" s="8">
        <v>9.5</v>
      </c>
      <c r="O246" s="28">
        <f>IF('Well Summary'!I246&gt;0,'Well Summary'!F246/('Well Summary'!I246/24),0)</f>
        <v>7.8160248016509977</v>
      </c>
    </row>
    <row r="247" spans="1:15" ht="15" customHeight="1" x14ac:dyDescent="0.3">
      <c r="A247" s="6" t="s">
        <v>338</v>
      </c>
      <c r="B247" s="6" t="s">
        <v>100</v>
      </c>
      <c r="C247" s="8">
        <v>6.5</v>
      </c>
      <c r="D247" s="8">
        <v>14.5</v>
      </c>
      <c r="E247" s="8">
        <v>13.4</v>
      </c>
      <c r="F247" s="8">
        <v>10.3</v>
      </c>
      <c r="G247" s="8">
        <v>8.9</v>
      </c>
      <c r="H247" s="8">
        <v>6.7</v>
      </c>
      <c r="I247" s="8">
        <v>7.4</v>
      </c>
      <c r="J247" s="8">
        <v>7</v>
      </c>
      <c r="K247" s="8">
        <v>9.9</v>
      </c>
      <c r="L247" s="8">
        <v>8</v>
      </c>
      <c r="M247" s="8">
        <v>6.7</v>
      </c>
      <c r="N247" s="8">
        <v>4.5</v>
      </c>
      <c r="O247" s="28">
        <f>IF('Well Summary'!I247&gt;0,'Well Summary'!F247/('Well Summary'!I247/24),0)</f>
        <v>8.7988566173031959</v>
      </c>
    </row>
    <row r="248" spans="1:15" ht="15" customHeight="1" x14ac:dyDescent="0.3">
      <c r="A248" s="6" t="s">
        <v>339</v>
      </c>
      <c r="B248" s="6" t="s">
        <v>272</v>
      </c>
      <c r="C248" s="8">
        <v>8.4</v>
      </c>
      <c r="D248" s="8">
        <v>7.5</v>
      </c>
      <c r="E248" s="8">
        <v>8.4</v>
      </c>
      <c r="F248" s="8">
        <v>7.6</v>
      </c>
      <c r="G248" s="8">
        <v>8.1999999999999993</v>
      </c>
      <c r="H248" s="8">
        <v>8.4</v>
      </c>
      <c r="I248" s="8">
        <v>7.1</v>
      </c>
      <c r="J248" s="8">
        <v>6</v>
      </c>
      <c r="K248" s="8">
        <v>6.5</v>
      </c>
      <c r="L248" s="8">
        <v>7.8</v>
      </c>
      <c r="M248" s="8">
        <v>7.8</v>
      </c>
      <c r="N248" s="8">
        <v>8.1999999999999993</v>
      </c>
      <c r="O248" s="28">
        <f>IF('Well Summary'!I248&gt;0,'Well Summary'!F248/('Well Summary'!I248/24),0)</f>
        <v>7.668581016949152</v>
      </c>
    </row>
    <row r="249" spans="1:15" ht="15" customHeight="1" x14ac:dyDescent="0.3">
      <c r="A249" s="6" t="s">
        <v>340</v>
      </c>
      <c r="B249" s="6" t="s">
        <v>85</v>
      </c>
      <c r="C249" s="8">
        <v>8.5</v>
      </c>
      <c r="D249" s="8">
        <v>8.1</v>
      </c>
      <c r="E249" s="8">
        <v>7.7</v>
      </c>
      <c r="F249" s="8">
        <v>7.9</v>
      </c>
      <c r="G249" s="8">
        <v>8.3000000000000007</v>
      </c>
      <c r="H249" s="8">
        <v>7.7</v>
      </c>
      <c r="I249" s="8">
        <v>7.4</v>
      </c>
      <c r="J249" s="8">
        <v>7.9</v>
      </c>
      <c r="K249" s="8">
        <v>7.6</v>
      </c>
      <c r="L249" s="8">
        <v>7.7</v>
      </c>
      <c r="M249" s="8">
        <v>7.3</v>
      </c>
      <c r="N249" s="8">
        <v>7.3</v>
      </c>
      <c r="O249" s="28">
        <f>IF('Well Summary'!I249&gt;0,'Well Summary'!F249/('Well Summary'!I249/24),0)</f>
        <v>7.7855561904761892</v>
      </c>
    </row>
    <row r="250" spans="1:15" ht="15" customHeight="1" x14ac:dyDescent="0.3">
      <c r="A250" s="6" t="s">
        <v>341</v>
      </c>
      <c r="B250" s="6" t="s">
        <v>322</v>
      </c>
      <c r="C250" s="8">
        <v>7.8</v>
      </c>
      <c r="D250" s="8">
        <v>8.1999999999999993</v>
      </c>
      <c r="E250" s="8">
        <v>8.6</v>
      </c>
      <c r="F250" s="8">
        <v>8.5</v>
      </c>
      <c r="G250" s="8">
        <v>9.9</v>
      </c>
      <c r="H250" s="8">
        <v>8.9</v>
      </c>
      <c r="I250" s="8">
        <v>9.8000000000000007</v>
      </c>
      <c r="J250" s="8">
        <v>5.4</v>
      </c>
      <c r="K250" s="8">
        <v>4.5999999999999996</v>
      </c>
      <c r="L250" s="8">
        <v>4.9000000000000004</v>
      </c>
      <c r="M250" s="8">
        <v>5</v>
      </c>
      <c r="N250" s="8">
        <v>4.7</v>
      </c>
      <c r="O250" s="28">
        <f>IF('Well Summary'!I250&gt;0,'Well Summary'!F250/('Well Summary'!I250/24),0)</f>
        <v>7.1802079012345672</v>
      </c>
    </row>
    <row r="251" spans="1:15" ht="15" customHeight="1" x14ac:dyDescent="0.3">
      <c r="A251" s="6" t="s">
        <v>342</v>
      </c>
      <c r="B251" s="6" t="s">
        <v>135</v>
      </c>
      <c r="C251" s="8">
        <v>2.8</v>
      </c>
      <c r="D251" s="8">
        <v>3</v>
      </c>
      <c r="E251" s="8">
        <v>3.2</v>
      </c>
      <c r="F251" s="8">
        <v>6.7</v>
      </c>
      <c r="G251" s="8">
        <v>7.3</v>
      </c>
      <c r="H251" s="8">
        <v>9.6</v>
      </c>
      <c r="I251" s="8">
        <v>17.3</v>
      </c>
      <c r="J251" s="8">
        <v>22.5</v>
      </c>
      <c r="K251" s="8">
        <v>14</v>
      </c>
      <c r="L251" s="8">
        <v>7.5</v>
      </c>
      <c r="M251" s="8">
        <v>7.4</v>
      </c>
      <c r="N251" s="8">
        <v>7.5</v>
      </c>
      <c r="O251" s="28">
        <f>IF('Well Summary'!I251&gt;0,'Well Summary'!F251/('Well Summary'!I251/24),0)</f>
        <v>8.8930011682575874</v>
      </c>
    </row>
    <row r="252" spans="1:15" ht="15" customHeight="1" x14ac:dyDescent="0.3">
      <c r="A252" s="6" t="s">
        <v>343</v>
      </c>
      <c r="B252" s="6" t="s">
        <v>185</v>
      </c>
      <c r="C252" s="8">
        <v>11.1</v>
      </c>
      <c r="D252" s="8">
        <v>13.4</v>
      </c>
      <c r="E252" s="8">
        <v>11.1</v>
      </c>
      <c r="F252" s="8">
        <v>7.8</v>
      </c>
      <c r="G252" s="8">
        <v>6.6</v>
      </c>
      <c r="H252" s="8">
        <v>11.7</v>
      </c>
      <c r="I252" s="8">
        <v>7.3</v>
      </c>
      <c r="J252" s="8">
        <v>1.8</v>
      </c>
      <c r="K252" s="8">
        <v>2.4</v>
      </c>
      <c r="L252" s="8">
        <v>2.8</v>
      </c>
      <c r="M252" s="8">
        <v>3.5</v>
      </c>
      <c r="N252" s="8">
        <v>6.4</v>
      </c>
      <c r="O252" s="28">
        <f>IF('Well Summary'!I252&gt;0,'Well Summary'!F252/('Well Summary'!I252/24),0)</f>
        <v>7.1190962221460401</v>
      </c>
    </row>
    <row r="253" spans="1:15" ht="15" customHeight="1" x14ac:dyDescent="0.3">
      <c r="A253" s="6" t="s">
        <v>344</v>
      </c>
      <c r="B253" s="6" t="s">
        <v>85</v>
      </c>
      <c r="C253" s="8">
        <v>7.6</v>
      </c>
      <c r="D253" s="8">
        <v>7.6</v>
      </c>
      <c r="E253" s="8">
        <v>7.2</v>
      </c>
      <c r="F253" s="8">
        <v>7.4</v>
      </c>
      <c r="G253" s="8">
        <v>7.8</v>
      </c>
      <c r="H253" s="8">
        <v>7.2</v>
      </c>
      <c r="I253" s="8">
        <v>6.9</v>
      </c>
      <c r="J253" s="8">
        <v>7.5</v>
      </c>
      <c r="K253" s="8">
        <v>7.2</v>
      </c>
      <c r="L253" s="8">
        <v>7.2</v>
      </c>
      <c r="M253" s="8">
        <v>6.8</v>
      </c>
      <c r="N253" s="8">
        <v>6.9</v>
      </c>
      <c r="O253" s="28">
        <f>IF('Well Summary'!I253&gt;0,'Well Summary'!F253/('Well Summary'!I253/24),0)</f>
        <v>7.2745089720305121</v>
      </c>
    </row>
    <row r="254" spans="1:15" ht="15" customHeight="1" x14ac:dyDescent="0.3">
      <c r="A254" s="6" t="s">
        <v>345</v>
      </c>
      <c r="B254" s="6" t="s">
        <v>135</v>
      </c>
      <c r="C254" s="8">
        <v>7.3</v>
      </c>
      <c r="D254" s="8">
        <v>7.5</v>
      </c>
      <c r="E254" s="8">
        <v>8.9</v>
      </c>
      <c r="F254" s="8">
        <v>10.6</v>
      </c>
      <c r="G254" s="8">
        <v>7.8</v>
      </c>
      <c r="H254" s="8">
        <v>10</v>
      </c>
      <c r="I254" s="8">
        <v>8.3000000000000007</v>
      </c>
      <c r="J254" s="8">
        <v>11.1</v>
      </c>
      <c r="K254" s="8">
        <v>9.1</v>
      </c>
      <c r="L254" s="8">
        <v>11.2</v>
      </c>
      <c r="M254" s="8">
        <v>10.1</v>
      </c>
      <c r="N254" s="8">
        <v>5.9</v>
      </c>
      <c r="O254" s="28">
        <f>IF('Well Summary'!I254&gt;0,'Well Summary'!F254/('Well Summary'!I254/24),0)</f>
        <v>8.8513319875684466</v>
      </c>
    </row>
    <row r="255" spans="1:15" ht="15" customHeight="1" x14ac:dyDescent="0.3">
      <c r="A255" s="6" t="s">
        <v>346</v>
      </c>
      <c r="B255" s="6" t="s">
        <v>311</v>
      </c>
      <c r="C255" s="8">
        <v>11.3</v>
      </c>
      <c r="D255" s="8">
        <v>11.3</v>
      </c>
      <c r="E255" s="8">
        <v>11.3</v>
      </c>
      <c r="F255" s="8">
        <v>11</v>
      </c>
      <c r="G255" s="8">
        <v>10.9</v>
      </c>
      <c r="H255" s="8">
        <v>3</v>
      </c>
      <c r="I255" s="8">
        <v>12.2</v>
      </c>
      <c r="J255" s="8">
        <v>3.3</v>
      </c>
      <c r="K255" s="8">
        <v>3.1</v>
      </c>
      <c r="L255" s="8">
        <v>2.9</v>
      </c>
      <c r="M255" s="8">
        <v>0.5</v>
      </c>
      <c r="N255" s="8">
        <v>0.4</v>
      </c>
      <c r="O255" s="28">
        <f>IF('Well Summary'!I255&gt;0,'Well Summary'!F255/('Well Summary'!I255/24),0)</f>
        <v>6.7411687139588095</v>
      </c>
    </row>
    <row r="256" spans="1:15" ht="15" customHeight="1" x14ac:dyDescent="0.3">
      <c r="A256" s="6" t="s">
        <v>347</v>
      </c>
      <c r="B256" s="6" t="s">
        <v>348</v>
      </c>
      <c r="C256" s="8">
        <v>7.5</v>
      </c>
      <c r="D256" s="8">
        <v>5.8</v>
      </c>
      <c r="E256" s="8">
        <v>7.3</v>
      </c>
      <c r="F256" s="8">
        <v>6.9</v>
      </c>
      <c r="G256" s="8">
        <v>6.7</v>
      </c>
      <c r="H256" s="8">
        <v>7.3</v>
      </c>
      <c r="I256" s="8">
        <v>7.3</v>
      </c>
      <c r="J256" s="8">
        <v>7.3</v>
      </c>
      <c r="K256" s="8">
        <v>7.3</v>
      </c>
      <c r="L256" s="8">
        <v>6.8</v>
      </c>
      <c r="M256" s="8">
        <v>7.2</v>
      </c>
      <c r="N256" s="8">
        <v>2.2999999999999998</v>
      </c>
      <c r="O256" s="28">
        <f>IF('Well Summary'!I256&gt;0,'Well Summary'!F256/('Well Summary'!I256/24),0)</f>
        <v>6.7540049577464778</v>
      </c>
    </row>
    <row r="257" spans="1:15" ht="15" customHeight="1" x14ac:dyDescent="0.3">
      <c r="A257" s="6" t="s">
        <v>350</v>
      </c>
      <c r="B257" s="6" t="s">
        <v>275</v>
      </c>
      <c r="C257" s="8">
        <v>9.1999999999999993</v>
      </c>
      <c r="D257" s="8">
        <v>6.2</v>
      </c>
      <c r="E257" s="8">
        <v>4.9000000000000004</v>
      </c>
      <c r="F257" s="8">
        <v>8.5</v>
      </c>
      <c r="G257" s="8">
        <v>7.2</v>
      </c>
      <c r="H257" s="8">
        <v>6.4</v>
      </c>
      <c r="I257" s="8">
        <v>7.7</v>
      </c>
      <c r="J257" s="8">
        <v>6.4</v>
      </c>
      <c r="K257" s="8">
        <v>3.4</v>
      </c>
      <c r="L257" s="8">
        <v>5.9</v>
      </c>
      <c r="M257" s="8">
        <v>6.3</v>
      </c>
      <c r="N257" s="8">
        <v>6.5</v>
      </c>
      <c r="O257" s="28">
        <f>IF('Well Summary'!I257&gt;0,'Well Summary'!F257/('Well Summary'!I257/24),0)</f>
        <v>6.5610174997140565</v>
      </c>
    </row>
    <row r="258" spans="1:15" ht="15" customHeight="1" x14ac:dyDescent="0.3">
      <c r="A258" s="6" t="s">
        <v>351</v>
      </c>
      <c r="B258" s="6" t="s">
        <v>352</v>
      </c>
      <c r="C258" s="8">
        <v>10.5</v>
      </c>
      <c r="D258" s="8">
        <v>8.1</v>
      </c>
      <c r="E258" s="8">
        <v>3.2</v>
      </c>
      <c r="F258" s="8">
        <v>7.1</v>
      </c>
      <c r="G258" s="8">
        <v>7.5</v>
      </c>
      <c r="H258" s="8">
        <v>6</v>
      </c>
      <c r="I258" s="8">
        <v>5.7</v>
      </c>
      <c r="J258" s="8">
        <v>4.0999999999999996</v>
      </c>
      <c r="K258" s="8">
        <v>6.9</v>
      </c>
      <c r="L258" s="8">
        <v>6.1</v>
      </c>
      <c r="M258" s="8">
        <v>4.7</v>
      </c>
      <c r="N258" s="8">
        <v>6.2</v>
      </c>
      <c r="O258" s="28">
        <f>IF('Well Summary'!I258&gt;0,'Well Summary'!F258/('Well Summary'!I258/24),0)</f>
        <v>6.3338575852534555</v>
      </c>
    </row>
    <row r="259" spans="1:15" ht="15" customHeight="1" x14ac:dyDescent="0.3">
      <c r="A259" s="6" t="s">
        <v>421</v>
      </c>
      <c r="B259" s="6" t="s">
        <v>311</v>
      </c>
      <c r="C259" s="8">
        <v>12</v>
      </c>
      <c r="D259" s="8">
        <v>9.6999999999999993</v>
      </c>
      <c r="E259" s="8">
        <v>11.5</v>
      </c>
      <c r="F259" s="8">
        <v>12.8</v>
      </c>
      <c r="G259" s="8">
        <v>10.6</v>
      </c>
      <c r="H259" s="8"/>
      <c r="I259" s="8">
        <v>11.3</v>
      </c>
      <c r="J259" s="8">
        <v>2.2999999999999998</v>
      </c>
      <c r="K259" s="8">
        <v>2.2000000000000002</v>
      </c>
      <c r="L259" s="8"/>
      <c r="M259" s="8">
        <v>1.5</v>
      </c>
      <c r="N259" s="8">
        <v>2.2000000000000002</v>
      </c>
      <c r="O259" s="28">
        <f>IF('Well Summary'!I259&gt;0,'Well Summary'!F259/('Well Summary'!I259/24),0)</f>
        <v>7.5572275735191639</v>
      </c>
    </row>
    <row r="260" spans="1:15" ht="15" customHeight="1" x14ac:dyDescent="0.3">
      <c r="A260" s="6" t="s">
        <v>354</v>
      </c>
      <c r="B260" s="6" t="s">
        <v>272</v>
      </c>
      <c r="C260" s="8">
        <v>6.3</v>
      </c>
      <c r="D260" s="8">
        <v>6.1</v>
      </c>
      <c r="E260" s="8">
        <v>6.9</v>
      </c>
      <c r="F260" s="8">
        <v>6.9</v>
      </c>
      <c r="G260" s="8">
        <v>6.5</v>
      </c>
      <c r="H260" s="8">
        <v>6.4</v>
      </c>
      <c r="I260" s="8">
        <v>5.2</v>
      </c>
      <c r="J260" s="8">
        <v>4.9000000000000004</v>
      </c>
      <c r="K260" s="8">
        <v>5.2</v>
      </c>
      <c r="L260" s="8">
        <v>5</v>
      </c>
      <c r="M260" s="8">
        <v>5.0999999999999996</v>
      </c>
      <c r="N260" s="8">
        <v>5.2</v>
      </c>
      <c r="O260" s="28">
        <f>IF('Well Summary'!I260&gt;0,'Well Summary'!F260/('Well Summary'!I260/24),0)</f>
        <v>5.7866159999999995</v>
      </c>
    </row>
    <row r="261" spans="1:15" ht="15" customHeight="1" x14ac:dyDescent="0.3">
      <c r="A261" s="6" t="s">
        <v>355</v>
      </c>
      <c r="B261" s="6" t="s">
        <v>80</v>
      </c>
      <c r="C261" s="8">
        <v>4.9000000000000004</v>
      </c>
      <c r="D261" s="8">
        <v>4.3</v>
      </c>
      <c r="E261" s="8">
        <v>3.3</v>
      </c>
      <c r="F261" s="8">
        <v>3.9</v>
      </c>
      <c r="G261" s="8">
        <v>3.2</v>
      </c>
      <c r="H261" s="8">
        <v>3.1</v>
      </c>
      <c r="I261" s="8">
        <v>3.2</v>
      </c>
      <c r="J261" s="8">
        <v>3.3</v>
      </c>
      <c r="K261" s="8">
        <v>6.6</v>
      </c>
      <c r="L261" s="8">
        <v>9.5</v>
      </c>
      <c r="M261" s="8">
        <v>12</v>
      </c>
      <c r="N261" s="8">
        <v>10.7</v>
      </c>
      <c r="O261" s="28">
        <f>IF('Well Summary'!I261&gt;0,'Well Summary'!F261/('Well Summary'!I261/24),0)</f>
        <v>5.6742025531914901</v>
      </c>
    </row>
    <row r="262" spans="1:15" ht="15" customHeight="1" x14ac:dyDescent="0.3">
      <c r="A262" s="6" t="s">
        <v>490</v>
      </c>
      <c r="B262" s="6" t="s">
        <v>85</v>
      </c>
      <c r="C262" s="8">
        <v>6.6</v>
      </c>
      <c r="D262" s="8">
        <v>6.6</v>
      </c>
      <c r="E262" s="8">
        <v>6.3</v>
      </c>
      <c r="F262" s="8">
        <v>6.4</v>
      </c>
      <c r="G262" s="8">
        <v>6.8</v>
      </c>
      <c r="H262" s="8">
        <v>6.2</v>
      </c>
      <c r="I262" s="8">
        <v>6</v>
      </c>
      <c r="J262" s="8">
        <v>6.5</v>
      </c>
      <c r="K262" s="8">
        <v>6.2</v>
      </c>
      <c r="L262" s="8">
        <v>6.2</v>
      </c>
      <c r="M262" s="8">
        <v>1.5</v>
      </c>
      <c r="N262" s="8">
        <v>1.6</v>
      </c>
      <c r="O262" s="28">
        <f>IF('Well Summary'!I262&gt;0,'Well Summary'!F262/('Well Summary'!I262/24),0)</f>
        <v>5.9015170392979774</v>
      </c>
    </row>
    <row r="263" spans="1:15" ht="15" customHeight="1" x14ac:dyDescent="0.3">
      <c r="A263" s="6" t="s">
        <v>424</v>
      </c>
      <c r="B263" s="6" t="s">
        <v>299</v>
      </c>
      <c r="C263" s="8">
        <v>6.5</v>
      </c>
      <c r="D263" s="8">
        <v>6</v>
      </c>
      <c r="E263" s="8">
        <v>5.8</v>
      </c>
      <c r="F263" s="8">
        <v>6.5</v>
      </c>
      <c r="G263" s="8">
        <v>6.4</v>
      </c>
      <c r="H263" s="8">
        <v>5.9</v>
      </c>
      <c r="I263" s="8"/>
      <c r="J263" s="8"/>
      <c r="K263" s="8">
        <v>4.7</v>
      </c>
      <c r="L263" s="8">
        <v>5.8</v>
      </c>
      <c r="M263" s="8">
        <v>6.1</v>
      </c>
      <c r="N263" s="8">
        <v>5.8</v>
      </c>
      <c r="O263" s="28">
        <f>IF('Well Summary'!I263&gt;0,'Well Summary'!F263/('Well Summary'!I263/24),0)</f>
        <v>5.9620436724565753</v>
      </c>
    </row>
    <row r="264" spans="1:15" ht="15" customHeight="1" x14ac:dyDescent="0.3">
      <c r="A264" s="6" t="s">
        <v>356</v>
      </c>
      <c r="B264" s="6" t="s">
        <v>299</v>
      </c>
      <c r="C264" s="8">
        <v>2.6</v>
      </c>
      <c r="D264" s="8">
        <v>3.1</v>
      </c>
      <c r="E264" s="8">
        <v>3.1</v>
      </c>
      <c r="F264" s="8">
        <v>3.1</v>
      </c>
      <c r="G264" s="8">
        <v>3.1</v>
      </c>
      <c r="H264" s="8">
        <v>3.1</v>
      </c>
      <c r="I264" s="8">
        <v>3.3</v>
      </c>
      <c r="J264" s="8">
        <v>4.3</v>
      </c>
      <c r="K264" s="8">
        <v>5.6</v>
      </c>
      <c r="L264" s="8">
        <v>7.5</v>
      </c>
      <c r="M264" s="8">
        <v>9.9</v>
      </c>
      <c r="N264" s="8">
        <v>7.2</v>
      </c>
      <c r="O264" s="28">
        <f>IF('Well Summary'!I264&gt;0,'Well Summary'!F264/('Well Summary'!I264/24),0)</f>
        <v>4.6780207420980302</v>
      </c>
    </row>
    <row r="265" spans="1:15" ht="15" customHeight="1" x14ac:dyDescent="0.3">
      <c r="A265" s="6" t="s">
        <v>357</v>
      </c>
      <c r="B265" s="6" t="s">
        <v>275</v>
      </c>
      <c r="C265" s="8">
        <v>6.8</v>
      </c>
      <c r="D265" s="8">
        <v>6</v>
      </c>
      <c r="E265" s="8">
        <v>4.9000000000000004</v>
      </c>
      <c r="F265" s="8">
        <v>5.3</v>
      </c>
      <c r="G265" s="8">
        <v>5.8</v>
      </c>
      <c r="H265" s="8">
        <v>5.2</v>
      </c>
      <c r="I265" s="8">
        <v>3.3</v>
      </c>
      <c r="J265" s="8">
        <v>4.0999999999999996</v>
      </c>
      <c r="K265" s="8">
        <v>2.5</v>
      </c>
      <c r="L265" s="8">
        <v>2.9</v>
      </c>
      <c r="M265" s="8">
        <v>5.9</v>
      </c>
      <c r="N265" s="8">
        <v>3.6</v>
      </c>
      <c r="O265" s="28">
        <f>IF('Well Summary'!I265&gt;0,'Well Summary'!F265/('Well Summary'!I265/24),0)</f>
        <v>4.6692864339622648</v>
      </c>
    </row>
    <row r="266" spans="1:15" ht="15" customHeight="1" x14ac:dyDescent="0.3">
      <c r="A266" s="6" t="s">
        <v>491</v>
      </c>
      <c r="B266" s="6" t="s">
        <v>348</v>
      </c>
      <c r="C266" s="8">
        <v>6.9</v>
      </c>
      <c r="D266" s="8">
        <v>6.5</v>
      </c>
      <c r="E266" s="8">
        <v>6.2</v>
      </c>
      <c r="F266" s="8">
        <v>5.7</v>
      </c>
      <c r="G266" s="8">
        <v>4</v>
      </c>
      <c r="H266" s="8">
        <v>2.4</v>
      </c>
      <c r="I266" s="8">
        <v>8.3000000000000007</v>
      </c>
      <c r="J266" s="8">
        <v>4.5999999999999996</v>
      </c>
      <c r="K266" s="8">
        <v>4.2</v>
      </c>
      <c r="L266" s="8">
        <v>4.5</v>
      </c>
      <c r="M266" s="8"/>
      <c r="N266" s="8"/>
      <c r="O266" s="28">
        <f>IF('Well Summary'!I266&gt;0,'Well Summary'!F266/('Well Summary'!I266/24),0)</f>
        <v>5.3113866666666665</v>
      </c>
    </row>
    <row r="267" spans="1:15" ht="15" customHeight="1" x14ac:dyDescent="0.3">
      <c r="A267" s="6" t="s">
        <v>358</v>
      </c>
      <c r="B267" s="6" t="s">
        <v>352</v>
      </c>
      <c r="C267" s="8">
        <v>4.4000000000000004</v>
      </c>
      <c r="D267" s="8">
        <v>5.7</v>
      </c>
      <c r="E267" s="8">
        <v>5.2</v>
      </c>
      <c r="F267" s="8">
        <v>3.1</v>
      </c>
      <c r="G267" s="8">
        <v>4</v>
      </c>
      <c r="H267" s="8">
        <v>1.5</v>
      </c>
      <c r="I267" s="8">
        <v>4.8</v>
      </c>
      <c r="J267" s="8">
        <v>4.8</v>
      </c>
      <c r="K267" s="8">
        <v>4.8</v>
      </c>
      <c r="L267" s="8">
        <v>4.0999999999999996</v>
      </c>
      <c r="M267" s="8">
        <v>4.8</v>
      </c>
      <c r="N267" s="8">
        <v>3.6</v>
      </c>
      <c r="O267" s="28">
        <f>IF('Well Summary'!I267&gt;0,'Well Summary'!F267/('Well Summary'!I267/24),0)</f>
        <v>4.2319606722689072</v>
      </c>
    </row>
    <row r="268" spans="1:15" ht="15" customHeight="1" x14ac:dyDescent="0.3">
      <c r="A268" s="6" t="s">
        <v>492</v>
      </c>
      <c r="B268" s="6" t="s">
        <v>71</v>
      </c>
      <c r="C268" s="8">
        <v>34.6</v>
      </c>
      <c r="D268" s="8">
        <v>42.2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28">
        <f>IF('Well Summary'!I268&gt;0,'Well Summary'!F268/('Well Summary'!I268/24),0)</f>
        <v>36.720513120494324</v>
      </c>
    </row>
    <row r="269" spans="1:15" ht="15" customHeight="1" x14ac:dyDescent="0.3">
      <c r="A269" s="6" t="s">
        <v>359</v>
      </c>
      <c r="B269" s="6" t="s">
        <v>85</v>
      </c>
      <c r="C269" s="8">
        <v>3.8</v>
      </c>
      <c r="D269" s="8">
        <v>3.8</v>
      </c>
      <c r="E269" s="8">
        <v>3.6</v>
      </c>
      <c r="F269" s="8">
        <v>3.7</v>
      </c>
      <c r="G269" s="8">
        <v>3.9</v>
      </c>
      <c r="H269" s="8">
        <v>3.6</v>
      </c>
      <c r="I269" s="8">
        <v>3.5</v>
      </c>
      <c r="J269" s="8">
        <v>4.5</v>
      </c>
      <c r="K269" s="8">
        <v>4.5999999999999996</v>
      </c>
      <c r="L269" s="8">
        <v>3</v>
      </c>
      <c r="M269" s="8">
        <v>5.5</v>
      </c>
      <c r="N269" s="8">
        <v>5.7</v>
      </c>
      <c r="O269" s="28">
        <f>IF('Well Summary'!I269&gt;0,'Well Summary'!F269/('Well Summary'!I269/24),0)</f>
        <v>4.1047071428571424</v>
      </c>
    </row>
    <row r="270" spans="1:15" ht="15" customHeight="1" x14ac:dyDescent="0.3">
      <c r="A270" s="6" t="s">
        <v>493</v>
      </c>
      <c r="B270" s="6" t="s">
        <v>272</v>
      </c>
      <c r="C270" s="8">
        <v>4.7</v>
      </c>
      <c r="D270" s="8">
        <v>4.5</v>
      </c>
      <c r="E270" s="8">
        <v>5.0999999999999996</v>
      </c>
      <c r="F270" s="8">
        <v>4.4000000000000004</v>
      </c>
      <c r="G270" s="8">
        <v>4.5</v>
      </c>
      <c r="H270" s="8">
        <v>3.9</v>
      </c>
      <c r="I270" s="8">
        <v>5.9</v>
      </c>
      <c r="J270" s="8">
        <v>4.2</v>
      </c>
      <c r="K270" s="8">
        <v>4</v>
      </c>
      <c r="L270" s="8">
        <v>4.3</v>
      </c>
      <c r="M270" s="8">
        <v>4.4000000000000004</v>
      </c>
      <c r="N270" s="8">
        <v>6.3</v>
      </c>
      <c r="O270" s="28">
        <f>IF('Well Summary'!I270&gt;0,'Well Summary'!F270/('Well Summary'!I270/24),0)</f>
        <v>4.5470080289705113</v>
      </c>
    </row>
    <row r="271" spans="1:15" ht="15" customHeight="1" x14ac:dyDescent="0.3">
      <c r="A271" s="6" t="s">
        <v>494</v>
      </c>
      <c r="B271" s="6" t="s">
        <v>437</v>
      </c>
      <c r="C271" s="8"/>
      <c r="D271" s="8"/>
      <c r="E271" s="8"/>
      <c r="F271" s="8"/>
      <c r="G271" s="8">
        <v>8.4</v>
      </c>
      <c r="H271" s="8">
        <v>16.3</v>
      </c>
      <c r="I271" s="8">
        <v>21.1</v>
      </c>
      <c r="J271" s="8"/>
      <c r="K271" s="8"/>
      <c r="L271" s="8"/>
      <c r="M271" s="8"/>
      <c r="N271" s="8"/>
      <c r="O271" s="28">
        <f>IF('Well Summary'!I271&gt;0,'Well Summary'!F271/('Well Summary'!I271/24),0)</f>
        <v>16.691483271028037</v>
      </c>
    </row>
    <row r="272" spans="1:15" ht="15" customHeight="1" x14ac:dyDescent="0.3">
      <c r="A272" s="6" t="s">
        <v>495</v>
      </c>
      <c r="B272" s="6" t="s">
        <v>85</v>
      </c>
      <c r="C272" s="8">
        <v>12.4</v>
      </c>
      <c r="D272" s="8">
        <v>12.4</v>
      </c>
      <c r="E272" s="8">
        <v>11.8</v>
      </c>
      <c r="F272" s="8">
        <v>12.1</v>
      </c>
      <c r="G272" s="8"/>
      <c r="H272" s="8"/>
      <c r="I272" s="8"/>
      <c r="J272" s="8"/>
      <c r="K272" s="8"/>
      <c r="L272" s="8"/>
      <c r="M272" s="8"/>
      <c r="N272" s="8"/>
      <c r="O272" s="28">
        <f>IF('Well Summary'!I272&gt;0,'Well Summary'!F272/('Well Summary'!I272/24),0)</f>
        <v>12.172342876771145</v>
      </c>
    </row>
    <row r="273" spans="1:15" ht="15" customHeight="1" x14ac:dyDescent="0.3">
      <c r="A273" s="6" t="s">
        <v>496</v>
      </c>
      <c r="B273" s="6" t="s">
        <v>497</v>
      </c>
      <c r="C273" s="8"/>
      <c r="D273" s="8">
        <v>2</v>
      </c>
      <c r="E273" s="8">
        <v>49.4</v>
      </c>
      <c r="F273" s="8"/>
      <c r="G273" s="8"/>
      <c r="H273" s="8"/>
      <c r="I273" s="8"/>
      <c r="J273" s="8"/>
      <c r="K273" s="8"/>
      <c r="L273" s="8"/>
      <c r="M273" s="8"/>
      <c r="N273" s="8"/>
      <c r="O273" s="28">
        <f>IF('Well Summary'!I273&gt;0,'Well Summary'!F273/('Well Summary'!I273/24),0)</f>
        <v>27.068938848614071</v>
      </c>
    </row>
    <row r="274" spans="1:15" ht="15" customHeight="1" x14ac:dyDescent="0.3">
      <c r="A274" s="6" t="s">
        <v>499</v>
      </c>
      <c r="B274" s="6" t="s">
        <v>348</v>
      </c>
      <c r="C274" s="8">
        <v>4.5</v>
      </c>
      <c r="D274" s="8">
        <v>5.7</v>
      </c>
      <c r="E274" s="8">
        <v>5.5</v>
      </c>
      <c r="F274" s="8">
        <v>5.6</v>
      </c>
      <c r="G274" s="8">
        <v>4.7</v>
      </c>
      <c r="H274" s="8">
        <v>5.3</v>
      </c>
      <c r="I274" s="8">
        <v>5.4</v>
      </c>
      <c r="J274" s="8"/>
      <c r="K274" s="8"/>
      <c r="L274" s="8"/>
      <c r="M274" s="8"/>
      <c r="N274" s="8"/>
      <c r="O274" s="28">
        <f>IF('Well Summary'!I274&gt;0,'Well Summary'!F274/('Well Summary'!I274/24),0)</f>
        <v>5.2195952238805967</v>
      </c>
    </row>
    <row r="275" spans="1:15" ht="15" customHeight="1" x14ac:dyDescent="0.3">
      <c r="A275" s="6" t="s">
        <v>500</v>
      </c>
      <c r="B275" s="6" t="s">
        <v>437</v>
      </c>
      <c r="C275" s="8"/>
      <c r="D275" s="8"/>
      <c r="E275" s="8"/>
      <c r="F275" s="8"/>
      <c r="G275" s="8">
        <v>5.5</v>
      </c>
      <c r="H275" s="8">
        <v>11.3</v>
      </c>
      <c r="I275" s="8">
        <v>10.8</v>
      </c>
      <c r="J275" s="8"/>
      <c r="K275" s="8"/>
      <c r="L275" s="8"/>
      <c r="M275" s="8"/>
      <c r="N275" s="8"/>
      <c r="O275" s="28">
        <f>IF('Well Summary'!I275&gt;0,'Well Summary'!F275/('Well Summary'!I275/24),0)</f>
        <v>10.200414782608696</v>
      </c>
    </row>
    <row r="276" spans="1:15" ht="15" customHeight="1" x14ac:dyDescent="0.3">
      <c r="A276" s="6" t="s">
        <v>501</v>
      </c>
      <c r="B276" s="6" t="s">
        <v>502</v>
      </c>
      <c r="C276" s="8"/>
      <c r="D276" s="8"/>
      <c r="E276" s="8">
        <v>85.7</v>
      </c>
      <c r="F276" s="8"/>
      <c r="G276" s="8"/>
      <c r="H276" s="8"/>
      <c r="I276" s="8"/>
      <c r="J276" s="8"/>
      <c r="K276" s="8"/>
      <c r="L276" s="8"/>
      <c r="M276" s="8"/>
      <c r="N276" s="8"/>
      <c r="O276" s="28">
        <f>IF('Well Summary'!I276&gt;0,'Well Summary'!F276/('Well Summary'!I276/24),0)</f>
        <v>85.748778556701012</v>
      </c>
    </row>
    <row r="277" spans="1:15" ht="15" customHeight="1" x14ac:dyDescent="0.3">
      <c r="A277" s="6" t="s">
        <v>504</v>
      </c>
      <c r="B277" s="6" t="s">
        <v>505</v>
      </c>
      <c r="C277" s="8"/>
      <c r="D277" s="8">
        <v>0.1</v>
      </c>
      <c r="E277" s="8">
        <v>30.7</v>
      </c>
      <c r="F277" s="8"/>
      <c r="G277" s="8"/>
      <c r="H277" s="8"/>
      <c r="I277" s="8"/>
      <c r="J277" s="8"/>
      <c r="K277" s="8"/>
      <c r="L277" s="8"/>
      <c r="M277" s="8"/>
      <c r="N277" s="8"/>
      <c r="O277" s="28">
        <f>IF('Well Summary'!I277&gt;0,'Well Summary'!F277/('Well Summary'!I277/24),0)</f>
        <v>20.620526554364474</v>
      </c>
    </row>
    <row r="278" spans="1:15" ht="15" customHeight="1" x14ac:dyDescent="0.3">
      <c r="A278" s="6" t="s">
        <v>507</v>
      </c>
      <c r="B278" s="6" t="s">
        <v>508</v>
      </c>
      <c r="C278" s="8"/>
      <c r="D278" s="8">
        <v>8.6</v>
      </c>
      <c r="E278" s="8">
        <v>32.200000000000003</v>
      </c>
      <c r="F278" s="8"/>
      <c r="G278" s="8"/>
      <c r="H278" s="8"/>
      <c r="I278" s="8"/>
      <c r="J278" s="8"/>
      <c r="K278" s="8"/>
      <c r="L278" s="8"/>
      <c r="M278" s="8"/>
      <c r="N278" s="8"/>
      <c r="O278" s="28">
        <f>IF('Well Summary'!I278&gt;0,'Well Summary'!F278/('Well Summary'!I278/24),0)</f>
        <v>15.190341105527637</v>
      </c>
    </row>
    <row r="279" spans="1:15" ht="15" customHeight="1" x14ac:dyDescent="0.3">
      <c r="A279" s="6" t="s">
        <v>510</v>
      </c>
      <c r="B279" s="6" t="s">
        <v>71</v>
      </c>
      <c r="C279" s="8">
        <v>5.4</v>
      </c>
      <c r="D279" s="8">
        <v>17.8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28">
        <f>IF('Well Summary'!I279&gt;0,'Well Summary'!F279/('Well Summary'!I279/24),0)</f>
        <v>17.074505853658536</v>
      </c>
    </row>
    <row r="280" spans="1:15" ht="15" customHeight="1" x14ac:dyDescent="0.3">
      <c r="A280" s="6" t="s">
        <v>511</v>
      </c>
      <c r="B280" s="6" t="s">
        <v>55</v>
      </c>
      <c r="C280" s="8"/>
      <c r="D280" s="8">
        <v>2.9</v>
      </c>
      <c r="E280" s="8">
        <v>17.3</v>
      </c>
      <c r="F280" s="8"/>
      <c r="G280" s="8"/>
      <c r="H280" s="8"/>
      <c r="I280" s="8"/>
      <c r="J280" s="8"/>
      <c r="K280" s="8"/>
      <c r="L280" s="8"/>
      <c r="M280" s="8"/>
      <c r="N280" s="8"/>
      <c r="O280" s="28">
        <f>IF('Well Summary'!I280&gt;0,'Well Summary'!F280/('Well Summary'!I280/24),0)</f>
        <v>8.9753188748787576</v>
      </c>
    </row>
    <row r="281" spans="1:15" ht="15" customHeight="1" x14ac:dyDescent="0.3">
      <c r="A281" s="6" t="s">
        <v>512</v>
      </c>
      <c r="B281" s="6" t="s">
        <v>513</v>
      </c>
      <c r="C281" s="8"/>
      <c r="D281" s="8"/>
      <c r="E281" s="8">
        <v>6.4</v>
      </c>
      <c r="F281" s="8"/>
      <c r="G281" s="8"/>
      <c r="H281" s="8"/>
      <c r="I281" s="8"/>
      <c r="J281" s="8"/>
      <c r="K281" s="8"/>
      <c r="L281" s="8"/>
      <c r="M281" s="8"/>
      <c r="N281" s="8">
        <v>16.8</v>
      </c>
      <c r="O281" s="28">
        <f>IF('Well Summary'!I281&gt;0,'Well Summary'!F281/('Well Summary'!I281/24),0)</f>
        <v>9.3243691754122935</v>
      </c>
    </row>
    <row r="282" spans="1:15" ht="15" customHeight="1" x14ac:dyDescent="0.3">
      <c r="A282" s="6" t="s">
        <v>515</v>
      </c>
      <c r="B282" s="6" t="s">
        <v>516</v>
      </c>
      <c r="C282" s="8">
        <v>11.8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28">
        <f>IF('Well Summary'!I282&gt;0,'Well Summary'!F282/('Well Summary'!I282/24),0)</f>
        <v>11.765625882352941</v>
      </c>
    </row>
    <row r="283" spans="1:15" ht="15" customHeight="1" x14ac:dyDescent="0.3">
      <c r="A283" s="6" t="s">
        <v>518</v>
      </c>
      <c r="B283" s="6" t="s">
        <v>516</v>
      </c>
      <c r="C283" s="8">
        <v>8.4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28">
        <f>IF('Well Summary'!I283&gt;0,'Well Summary'!F283/('Well Summary'!I283/24),0)</f>
        <v>8.4357317647058832</v>
      </c>
    </row>
    <row r="284" spans="1:15" ht="15" customHeight="1" x14ac:dyDescent="0.3">
      <c r="A284" s="6" t="s">
        <v>519</v>
      </c>
      <c r="B284" s="6" t="s">
        <v>516</v>
      </c>
      <c r="C284" s="8">
        <v>2.4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28">
        <f>IF('Well Summary'!I284&gt;0,'Well Summary'!F284/('Well Summary'!I284/24),0)</f>
        <v>2.3761466666666662</v>
      </c>
    </row>
    <row r="285" spans="1:15" ht="15" customHeight="1" x14ac:dyDescent="0.3">
      <c r="A285" s="6" t="s">
        <v>520</v>
      </c>
      <c r="B285" s="6" t="s">
        <v>508</v>
      </c>
      <c r="C285" s="8"/>
      <c r="D285" s="8">
        <v>2</v>
      </c>
      <c r="E285" s="8">
        <v>3.8</v>
      </c>
      <c r="F285" s="8"/>
      <c r="G285" s="8"/>
      <c r="H285" s="8"/>
      <c r="I285" s="8"/>
      <c r="J285" s="8"/>
      <c r="K285" s="8"/>
      <c r="L285" s="8"/>
      <c r="M285" s="8"/>
      <c r="N285" s="8"/>
      <c r="O285" s="28">
        <f>IF('Well Summary'!I285&gt;0,'Well Summary'!F285/('Well Summary'!I285/24),0)</f>
        <v>2.0627418633540375</v>
      </c>
    </row>
    <row r="286" spans="1:15" ht="15" customHeight="1" x14ac:dyDescent="0.3">
      <c r="A286" s="6" t="s">
        <v>521</v>
      </c>
      <c r="B286" s="6" t="s">
        <v>65</v>
      </c>
      <c r="C286" s="8">
        <v>1.1000000000000001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28">
        <f>IF('Well Summary'!I286&gt;0,'Well Summary'!F286/('Well Summary'!I286/24),0)</f>
        <v>1.0692659999999998</v>
      </c>
    </row>
    <row r="287" spans="1:15" ht="15" customHeight="1" x14ac:dyDescent="0.3">
      <c r="A287" s="6" t="s">
        <v>522</v>
      </c>
      <c r="B287" s="6" t="s">
        <v>286</v>
      </c>
      <c r="C287" s="8">
        <v>7.5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28">
        <f>IF('Well Summary'!I287&gt;0,'Well Summary'!F287/('Well Summary'!I287/24),0)</f>
        <v>7.5477599999999994</v>
      </c>
    </row>
    <row r="288" spans="1:15" ht="15" customHeight="1" x14ac:dyDescent="0.3">
      <c r="A288" s="6" t="s">
        <v>523</v>
      </c>
      <c r="B288" s="6" t="s">
        <v>524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8">
        <f>IF('Well Summary'!I288&gt;0,'Well Summary'!F288/('Well Summary'!I288/24),0)</f>
        <v>4.4927142857142853E-2</v>
      </c>
    </row>
    <row r="289" spans="1:15" ht="15" customHeight="1" x14ac:dyDescent="0.3">
      <c r="A289" s="6" t="s">
        <v>526</v>
      </c>
      <c r="B289" s="6" t="s">
        <v>508</v>
      </c>
      <c r="C289" s="8">
        <v>0.2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28">
        <f>IF('Well Summary'!I289&gt;0,'Well Summary'!F289/('Well Summary'!I289/24),0)</f>
        <v>0.1623174193548387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8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5" customHeight="1" x14ac:dyDescent="0.3"/>
  <cols>
    <col min="1" max="1" width="28" customWidth="1"/>
    <col min="2" max="2" width="34" customWidth="1"/>
    <col min="3" max="14" width="11" customWidth="1"/>
    <col min="15" max="15" width="13" customWidth="1"/>
  </cols>
  <sheetData>
    <row r="1" spans="1:15" ht="17.25" customHeight="1" x14ac:dyDescent="0.3">
      <c r="A1" s="3" t="s">
        <v>558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5" ht="33.75" customHeight="1" x14ac:dyDescent="0.3">
      <c r="A3" s="4" t="s">
        <v>4</v>
      </c>
      <c r="B3" s="4" t="s">
        <v>529</v>
      </c>
      <c r="C3" s="4" t="s">
        <v>559</v>
      </c>
      <c r="D3" s="4" t="s">
        <v>560</v>
      </c>
      <c r="E3" s="4" t="s">
        <v>561</v>
      </c>
      <c r="F3" s="4" t="s">
        <v>562</v>
      </c>
      <c r="G3" s="4" t="s">
        <v>563</v>
      </c>
      <c r="H3" s="4" t="s">
        <v>564</v>
      </c>
      <c r="I3" s="4" t="s">
        <v>565</v>
      </c>
      <c r="J3" s="4" t="s">
        <v>566</v>
      </c>
      <c r="K3" s="4" t="s">
        <v>567</v>
      </c>
      <c r="L3" s="4" t="s">
        <v>568</v>
      </c>
      <c r="M3" s="4" t="s">
        <v>569</v>
      </c>
      <c r="N3" s="4" t="s">
        <v>570</v>
      </c>
      <c r="O3" s="4" t="s">
        <v>555</v>
      </c>
    </row>
    <row r="4" spans="1:15" ht="15" customHeight="1" x14ac:dyDescent="0.3">
      <c r="A4" s="6" t="s">
        <v>385</v>
      </c>
      <c r="B4" s="6" t="s">
        <v>386</v>
      </c>
      <c r="C4" s="9"/>
      <c r="D4" s="9"/>
      <c r="E4" s="9"/>
      <c r="F4" s="9"/>
      <c r="G4" s="9">
        <v>663</v>
      </c>
      <c r="H4" s="9">
        <v>720</v>
      </c>
      <c r="I4" s="9">
        <v>96</v>
      </c>
      <c r="J4" s="9">
        <v>722</v>
      </c>
      <c r="K4" s="9">
        <v>701</v>
      </c>
      <c r="L4" s="9">
        <v>672</v>
      </c>
      <c r="M4" s="9">
        <v>720</v>
      </c>
      <c r="N4" s="9">
        <v>740</v>
      </c>
      <c r="O4" s="29">
        <f t="shared" ref="O4:O67" si="0">SUM(C4:N4)</f>
        <v>5034</v>
      </c>
    </row>
    <row r="5" spans="1:15" ht="15" customHeight="1" x14ac:dyDescent="0.3">
      <c r="A5" s="6" t="s">
        <v>15</v>
      </c>
      <c r="B5" s="6" t="s">
        <v>16</v>
      </c>
      <c r="C5" s="9">
        <v>730</v>
      </c>
      <c r="D5" s="9">
        <v>648</v>
      </c>
      <c r="E5" s="9">
        <v>740</v>
      </c>
      <c r="F5" s="9">
        <v>715</v>
      </c>
      <c r="G5" s="9">
        <v>744</v>
      </c>
      <c r="H5" s="9">
        <v>717</v>
      </c>
      <c r="I5" s="9">
        <v>742</v>
      </c>
      <c r="J5" s="9">
        <v>740</v>
      </c>
      <c r="K5" s="9">
        <v>720</v>
      </c>
      <c r="L5" s="9">
        <v>744</v>
      </c>
      <c r="M5" s="9">
        <v>720</v>
      </c>
      <c r="N5" s="9">
        <v>744</v>
      </c>
      <c r="O5" s="29">
        <f t="shared" si="0"/>
        <v>8704</v>
      </c>
    </row>
    <row r="6" spans="1:15" ht="15" customHeight="1" x14ac:dyDescent="0.3">
      <c r="A6" s="6" t="s">
        <v>428</v>
      </c>
      <c r="B6" s="6" t="s">
        <v>23</v>
      </c>
      <c r="C6" s="9"/>
      <c r="D6" s="9"/>
      <c r="E6" s="9"/>
      <c r="F6" s="9">
        <v>404</v>
      </c>
      <c r="G6" s="9">
        <v>744</v>
      </c>
      <c r="H6" s="9">
        <v>720</v>
      </c>
      <c r="I6" s="9">
        <v>731</v>
      </c>
      <c r="J6" s="9">
        <v>654</v>
      </c>
      <c r="K6" s="9">
        <v>715</v>
      </c>
      <c r="L6" s="9">
        <v>738</v>
      </c>
      <c r="M6" s="9">
        <v>717</v>
      </c>
      <c r="N6" s="9">
        <v>744</v>
      </c>
      <c r="O6" s="29">
        <f t="shared" si="0"/>
        <v>6167</v>
      </c>
    </row>
    <row r="7" spans="1:15" ht="15" customHeight="1" x14ac:dyDescent="0.3">
      <c r="A7" s="6" t="s">
        <v>430</v>
      </c>
      <c r="B7" s="6" t="s">
        <v>397</v>
      </c>
      <c r="C7" s="9"/>
      <c r="D7" s="9"/>
      <c r="E7" s="9"/>
      <c r="F7" s="9"/>
      <c r="G7" s="9">
        <v>710</v>
      </c>
      <c r="H7" s="9">
        <v>720</v>
      </c>
      <c r="I7" s="9">
        <v>744</v>
      </c>
      <c r="J7" s="9">
        <v>744</v>
      </c>
      <c r="K7" s="9">
        <v>720</v>
      </c>
      <c r="L7" s="9">
        <v>744</v>
      </c>
      <c r="M7" s="9">
        <v>720</v>
      </c>
      <c r="N7" s="9">
        <v>740</v>
      </c>
      <c r="O7" s="29">
        <f t="shared" si="0"/>
        <v>5842</v>
      </c>
    </row>
    <row r="8" spans="1:15" ht="15" customHeight="1" x14ac:dyDescent="0.3">
      <c r="A8" s="6" t="s">
        <v>19</v>
      </c>
      <c r="B8" s="6" t="s">
        <v>20</v>
      </c>
      <c r="C8" s="9">
        <v>744</v>
      </c>
      <c r="D8" s="9">
        <v>672</v>
      </c>
      <c r="E8" s="9">
        <v>744</v>
      </c>
      <c r="F8" s="9">
        <v>720</v>
      </c>
      <c r="G8" s="9">
        <v>740</v>
      </c>
      <c r="H8" s="9">
        <v>718</v>
      </c>
      <c r="I8" s="9">
        <v>743</v>
      </c>
      <c r="J8" s="9">
        <v>744</v>
      </c>
      <c r="K8" s="9">
        <v>720</v>
      </c>
      <c r="L8" s="9">
        <v>744</v>
      </c>
      <c r="M8" s="9">
        <v>720</v>
      </c>
      <c r="N8" s="9">
        <v>744</v>
      </c>
      <c r="O8" s="29">
        <f t="shared" si="0"/>
        <v>8753</v>
      </c>
    </row>
    <row r="9" spans="1:15" ht="15" customHeight="1" x14ac:dyDescent="0.3">
      <c r="A9" s="6" t="s">
        <v>22</v>
      </c>
      <c r="B9" s="6" t="s">
        <v>23</v>
      </c>
      <c r="C9" s="9">
        <v>624</v>
      </c>
      <c r="D9" s="9">
        <v>672</v>
      </c>
      <c r="E9" s="9">
        <v>742</v>
      </c>
      <c r="F9" s="9">
        <v>716</v>
      </c>
      <c r="G9" s="9">
        <v>744</v>
      </c>
      <c r="H9" s="9">
        <v>715</v>
      </c>
      <c r="I9" s="9">
        <v>744</v>
      </c>
      <c r="J9" s="9">
        <v>744</v>
      </c>
      <c r="K9" s="9">
        <v>720</v>
      </c>
      <c r="L9" s="9">
        <v>744</v>
      </c>
      <c r="M9" s="9">
        <v>621</v>
      </c>
      <c r="N9" s="9">
        <v>744</v>
      </c>
      <c r="O9" s="29">
        <f t="shared" si="0"/>
        <v>8530</v>
      </c>
    </row>
    <row r="10" spans="1:15" ht="15" customHeight="1" x14ac:dyDescent="0.3">
      <c r="A10" s="6" t="s">
        <v>25</v>
      </c>
      <c r="B10" s="6" t="s">
        <v>26</v>
      </c>
      <c r="C10" s="9">
        <v>744</v>
      </c>
      <c r="D10" s="9">
        <v>624</v>
      </c>
      <c r="E10" s="9">
        <v>694</v>
      </c>
      <c r="F10" s="9">
        <v>716</v>
      </c>
      <c r="G10" s="9">
        <v>744</v>
      </c>
      <c r="H10" s="9">
        <v>624</v>
      </c>
      <c r="I10" s="9">
        <v>742</v>
      </c>
      <c r="J10" s="9">
        <v>744</v>
      </c>
      <c r="K10" s="9">
        <v>720</v>
      </c>
      <c r="L10" s="9">
        <v>744</v>
      </c>
      <c r="M10" s="9">
        <v>713</v>
      </c>
      <c r="N10" s="9">
        <v>744</v>
      </c>
      <c r="O10" s="29">
        <f t="shared" si="0"/>
        <v>8553</v>
      </c>
    </row>
    <row r="11" spans="1:15" ht="15" customHeight="1" x14ac:dyDescent="0.3">
      <c r="A11" s="6" t="s">
        <v>432</v>
      </c>
      <c r="B11" s="6" t="s">
        <v>362</v>
      </c>
      <c r="C11" s="9"/>
      <c r="D11" s="9"/>
      <c r="E11" s="9"/>
      <c r="F11" s="9">
        <v>325</v>
      </c>
      <c r="G11" s="9">
        <v>736</v>
      </c>
      <c r="H11" s="9">
        <v>690</v>
      </c>
      <c r="I11" s="9">
        <v>744</v>
      </c>
      <c r="J11" s="9">
        <v>744</v>
      </c>
      <c r="K11" s="9">
        <v>720</v>
      </c>
      <c r="L11" s="9">
        <v>744</v>
      </c>
      <c r="M11" s="9">
        <v>716</v>
      </c>
      <c r="N11" s="9">
        <v>744</v>
      </c>
      <c r="O11" s="29">
        <f t="shared" si="0"/>
        <v>6163</v>
      </c>
    </row>
    <row r="12" spans="1:15" ht="15" customHeight="1" x14ac:dyDescent="0.3">
      <c r="A12" s="6" t="s">
        <v>28</v>
      </c>
      <c r="B12" s="6" t="s">
        <v>29</v>
      </c>
      <c r="C12" s="9">
        <v>744</v>
      </c>
      <c r="D12" s="9">
        <v>642</v>
      </c>
      <c r="E12" s="9">
        <v>744</v>
      </c>
      <c r="F12" s="9">
        <v>720</v>
      </c>
      <c r="G12" s="9">
        <v>744</v>
      </c>
      <c r="H12" s="9">
        <v>720</v>
      </c>
      <c r="I12" s="9">
        <v>738</v>
      </c>
      <c r="J12" s="9">
        <v>744</v>
      </c>
      <c r="K12" s="9">
        <v>720</v>
      </c>
      <c r="L12" s="9">
        <v>744</v>
      </c>
      <c r="M12" s="9">
        <v>678</v>
      </c>
      <c r="N12" s="9">
        <v>744</v>
      </c>
      <c r="O12" s="29">
        <f t="shared" si="0"/>
        <v>8682</v>
      </c>
    </row>
    <row r="13" spans="1:15" ht="15" customHeight="1" x14ac:dyDescent="0.3">
      <c r="A13" s="6" t="s">
        <v>433</v>
      </c>
      <c r="B13" s="6" t="s">
        <v>23</v>
      </c>
      <c r="C13" s="9"/>
      <c r="D13" s="9"/>
      <c r="E13" s="9"/>
      <c r="F13" s="9">
        <v>404</v>
      </c>
      <c r="G13" s="9">
        <v>744</v>
      </c>
      <c r="H13" s="9">
        <v>718</v>
      </c>
      <c r="I13" s="9">
        <v>744</v>
      </c>
      <c r="J13" s="9">
        <v>744</v>
      </c>
      <c r="K13" s="9">
        <v>583</v>
      </c>
      <c r="L13" s="9">
        <v>740</v>
      </c>
      <c r="M13" s="9">
        <v>707</v>
      </c>
      <c r="N13" s="9">
        <v>744</v>
      </c>
      <c r="O13" s="29">
        <f t="shared" si="0"/>
        <v>6128</v>
      </c>
    </row>
    <row r="14" spans="1:15" ht="15" customHeight="1" x14ac:dyDescent="0.3">
      <c r="A14" s="6" t="s">
        <v>31</v>
      </c>
      <c r="B14" s="6" t="s">
        <v>20</v>
      </c>
      <c r="C14" s="9">
        <v>732</v>
      </c>
      <c r="D14" s="9">
        <v>672</v>
      </c>
      <c r="E14" s="9">
        <v>739</v>
      </c>
      <c r="F14" s="9">
        <v>720</v>
      </c>
      <c r="G14" s="9">
        <v>722</v>
      </c>
      <c r="H14" s="9">
        <v>718</v>
      </c>
      <c r="I14" s="9">
        <v>739</v>
      </c>
      <c r="J14" s="9">
        <v>736</v>
      </c>
      <c r="K14" s="9">
        <v>720</v>
      </c>
      <c r="L14" s="9">
        <v>744</v>
      </c>
      <c r="M14" s="9">
        <v>720</v>
      </c>
      <c r="N14" s="9">
        <v>744</v>
      </c>
      <c r="O14" s="29">
        <f t="shared" si="0"/>
        <v>8706</v>
      </c>
    </row>
    <row r="15" spans="1:15" ht="15" customHeight="1" x14ac:dyDescent="0.3">
      <c r="A15" s="6" t="s">
        <v>434</v>
      </c>
      <c r="B15" s="6" t="s">
        <v>386</v>
      </c>
      <c r="C15" s="9"/>
      <c r="D15" s="9"/>
      <c r="E15" s="9"/>
      <c r="F15" s="9"/>
      <c r="G15" s="9"/>
      <c r="H15" s="9"/>
      <c r="I15" s="9"/>
      <c r="J15" s="9">
        <v>743</v>
      </c>
      <c r="K15" s="9">
        <v>719</v>
      </c>
      <c r="L15" s="9">
        <v>742</v>
      </c>
      <c r="M15" s="9">
        <v>720</v>
      </c>
      <c r="N15" s="9">
        <v>552</v>
      </c>
      <c r="O15" s="29">
        <f t="shared" si="0"/>
        <v>3476</v>
      </c>
    </row>
    <row r="16" spans="1:15" ht="15" customHeight="1" x14ac:dyDescent="0.3">
      <c r="A16" s="6" t="s">
        <v>361</v>
      </c>
      <c r="B16" s="6" t="s">
        <v>362</v>
      </c>
      <c r="C16" s="9"/>
      <c r="D16" s="9"/>
      <c r="E16" s="9">
        <v>408</v>
      </c>
      <c r="F16" s="9">
        <v>676</v>
      </c>
      <c r="G16" s="9">
        <v>744</v>
      </c>
      <c r="H16" s="9">
        <v>598</v>
      </c>
      <c r="I16" s="9">
        <v>744</v>
      </c>
      <c r="J16" s="9">
        <v>744</v>
      </c>
      <c r="K16" s="9">
        <v>720</v>
      </c>
      <c r="L16" s="9">
        <v>744</v>
      </c>
      <c r="M16" s="9">
        <v>720</v>
      </c>
      <c r="N16" s="9">
        <v>744</v>
      </c>
      <c r="O16" s="29">
        <f t="shared" si="0"/>
        <v>6842</v>
      </c>
    </row>
    <row r="17" spans="1:15" ht="15" customHeight="1" x14ac:dyDescent="0.3">
      <c r="A17" s="6" t="s">
        <v>32</v>
      </c>
      <c r="B17" s="6" t="s">
        <v>33</v>
      </c>
      <c r="C17" s="9">
        <v>744</v>
      </c>
      <c r="D17" s="9">
        <v>665</v>
      </c>
      <c r="E17" s="9">
        <v>642</v>
      </c>
      <c r="F17" s="9">
        <v>548</v>
      </c>
      <c r="G17" s="9">
        <v>565</v>
      </c>
      <c r="H17" s="9">
        <v>560</v>
      </c>
      <c r="I17" s="9">
        <v>743</v>
      </c>
      <c r="J17" s="9">
        <v>673</v>
      </c>
      <c r="K17" s="9">
        <v>720</v>
      </c>
      <c r="L17" s="9">
        <v>742</v>
      </c>
      <c r="M17" s="9">
        <v>718</v>
      </c>
      <c r="N17" s="9">
        <v>744</v>
      </c>
      <c r="O17" s="29">
        <f t="shared" si="0"/>
        <v>8064</v>
      </c>
    </row>
    <row r="18" spans="1:15" ht="15" customHeight="1" x14ac:dyDescent="0.3">
      <c r="A18" s="6" t="s">
        <v>35</v>
      </c>
      <c r="B18" s="6" t="s">
        <v>36</v>
      </c>
      <c r="C18" s="9">
        <v>744</v>
      </c>
      <c r="D18" s="9">
        <v>672</v>
      </c>
      <c r="E18" s="9">
        <v>744</v>
      </c>
      <c r="F18" s="9">
        <v>720</v>
      </c>
      <c r="G18" s="9">
        <v>744</v>
      </c>
      <c r="H18" s="9">
        <v>712</v>
      </c>
      <c r="I18" s="9">
        <v>744</v>
      </c>
      <c r="J18" s="9">
        <v>744</v>
      </c>
      <c r="K18" s="9">
        <v>720</v>
      </c>
      <c r="L18" s="9">
        <v>744</v>
      </c>
      <c r="M18" s="9">
        <v>552</v>
      </c>
      <c r="N18" s="9">
        <v>660</v>
      </c>
      <c r="O18" s="29">
        <f t="shared" si="0"/>
        <v>8500</v>
      </c>
    </row>
    <row r="19" spans="1:15" ht="15" customHeight="1" x14ac:dyDescent="0.3">
      <c r="A19" s="6" t="s">
        <v>366</v>
      </c>
      <c r="B19" s="6" t="s">
        <v>367</v>
      </c>
      <c r="C19" s="9"/>
      <c r="D19" s="9"/>
      <c r="E19" s="9">
        <v>664</v>
      </c>
      <c r="F19" s="9">
        <v>700</v>
      </c>
      <c r="G19" s="9">
        <v>714</v>
      </c>
      <c r="H19" s="9">
        <v>718</v>
      </c>
      <c r="I19" s="9">
        <v>742</v>
      </c>
      <c r="J19" s="9">
        <v>732</v>
      </c>
      <c r="K19" s="9">
        <v>707</v>
      </c>
      <c r="L19" s="9">
        <v>719</v>
      </c>
      <c r="M19" s="9">
        <v>697</v>
      </c>
      <c r="N19" s="9">
        <v>744</v>
      </c>
      <c r="O19" s="29">
        <f t="shared" si="0"/>
        <v>7137</v>
      </c>
    </row>
    <row r="20" spans="1:15" ht="15" customHeight="1" x14ac:dyDescent="0.3">
      <c r="A20" s="6" t="s">
        <v>37</v>
      </c>
      <c r="B20" s="6" t="s">
        <v>38</v>
      </c>
      <c r="C20" s="9">
        <v>734</v>
      </c>
      <c r="D20" s="9">
        <v>641</v>
      </c>
      <c r="E20" s="9">
        <v>722</v>
      </c>
      <c r="F20" s="9">
        <v>712</v>
      </c>
      <c r="G20" s="9">
        <v>722</v>
      </c>
      <c r="H20" s="9">
        <v>716</v>
      </c>
      <c r="I20" s="9">
        <v>744</v>
      </c>
      <c r="J20" s="9">
        <v>744</v>
      </c>
      <c r="K20" s="9">
        <v>720</v>
      </c>
      <c r="L20" s="9">
        <v>744</v>
      </c>
      <c r="M20" s="9">
        <v>713</v>
      </c>
      <c r="N20" s="9">
        <v>744</v>
      </c>
      <c r="O20" s="29">
        <f t="shared" si="0"/>
        <v>8656</v>
      </c>
    </row>
    <row r="21" spans="1:15" ht="15" customHeight="1" x14ac:dyDescent="0.3">
      <c r="A21" s="6" t="s">
        <v>436</v>
      </c>
      <c r="B21" s="6" t="s">
        <v>437</v>
      </c>
      <c r="C21" s="9"/>
      <c r="D21" s="9"/>
      <c r="E21" s="9"/>
      <c r="F21" s="9"/>
      <c r="G21" s="9">
        <v>744</v>
      </c>
      <c r="H21" s="9">
        <v>718</v>
      </c>
      <c r="I21" s="9">
        <v>744</v>
      </c>
      <c r="J21" s="9">
        <v>744</v>
      </c>
      <c r="K21" s="9">
        <v>718</v>
      </c>
      <c r="L21" s="9">
        <v>744</v>
      </c>
      <c r="M21" s="9">
        <v>720</v>
      </c>
      <c r="N21" s="9">
        <v>734</v>
      </c>
      <c r="O21" s="29">
        <f t="shared" si="0"/>
        <v>5866</v>
      </c>
    </row>
    <row r="22" spans="1:15" ht="15" customHeight="1" x14ac:dyDescent="0.3">
      <c r="A22" s="6" t="s">
        <v>439</v>
      </c>
      <c r="B22" s="6" t="s">
        <v>437</v>
      </c>
      <c r="C22" s="9"/>
      <c r="D22" s="9"/>
      <c r="E22" s="9"/>
      <c r="F22" s="9"/>
      <c r="G22" s="9">
        <v>744</v>
      </c>
      <c r="H22" s="9">
        <v>720</v>
      </c>
      <c r="I22" s="9">
        <v>744</v>
      </c>
      <c r="J22" s="9">
        <v>744</v>
      </c>
      <c r="K22" s="9">
        <v>718</v>
      </c>
      <c r="L22" s="9">
        <v>744</v>
      </c>
      <c r="M22" s="9">
        <v>720</v>
      </c>
      <c r="N22" s="9">
        <v>734</v>
      </c>
      <c r="O22" s="29">
        <f t="shared" si="0"/>
        <v>5868</v>
      </c>
    </row>
    <row r="23" spans="1:15" ht="15" customHeight="1" x14ac:dyDescent="0.3">
      <c r="A23" s="6" t="s">
        <v>40</v>
      </c>
      <c r="B23" s="6" t="s">
        <v>16</v>
      </c>
      <c r="C23" s="9">
        <v>743</v>
      </c>
      <c r="D23" s="9">
        <v>670</v>
      </c>
      <c r="E23" s="9">
        <v>744</v>
      </c>
      <c r="F23" s="9">
        <v>720</v>
      </c>
      <c r="G23" s="9">
        <v>744</v>
      </c>
      <c r="H23" s="9">
        <v>717</v>
      </c>
      <c r="I23" s="9">
        <v>683</v>
      </c>
      <c r="J23" s="9">
        <v>740</v>
      </c>
      <c r="K23" s="9">
        <v>716</v>
      </c>
      <c r="L23" s="9">
        <v>744</v>
      </c>
      <c r="M23" s="9">
        <v>720</v>
      </c>
      <c r="N23" s="9">
        <v>744</v>
      </c>
      <c r="O23" s="29">
        <f t="shared" si="0"/>
        <v>8685</v>
      </c>
    </row>
    <row r="24" spans="1:15" ht="15" customHeight="1" x14ac:dyDescent="0.3">
      <c r="A24" s="6" t="s">
        <v>41</v>
      </c>
      <c r="B24" s="6" t="s">
        <v>16</v>
      </c>
      <c r="C24" s="9">
        <v>738</v>
      </c>
      <c r="D24" s="9">
        <v>670</v>
      </c>
      <c r="E24" s="9">
        <v>744</v>
      </c>
      <c r="F24" s="9">
        <v>720</v>
      </c>
      <c r="G24" s="9">
        <v>670</v>
      </c>
      <c r="H24" s="9">
        <v>717</v>
      </c>
      <c r="I24" s="9">
        <v>744</v>
      </c>
      <c r="J24" s="9">
        <v>740</v>
      </c>
      <c r="K24" s="9">
        <v>716</v>
      </c>
      <c r="L24" s="9">
        <v>744</v>
      </c>
      <c r="M24" s="9">
        <v>720</v>
      </c>
      <c r="N24" s="9">
        <v>744</v>
      </c>
      <c r="O24" s="29">
        <f t="shared" si="0"/>
        <v>8667</v>
      </c>
    </row>
    <row r="25" spans="1:15" ht="15" customHeight="1" x14ac:dyDescent="0.3">
      <c r="A25" s="6" t="s">
        <v>42</v>
      </c>
      <c r="B25" s="6" t="s">
        <v>20</v>
      </c>
      <c r="C25" s="9">
        <v>740</v>
      </c>
      <c r="D25" s="9">
        <v>672</v>
      </c>
      <c r="E25" s="9">
        <v>744</v>
      </c>
      <c r="F25" s="9">
        <v>720</v>
      </c>
      <c r="G25" s="9">
        <v>740</v>
      </c>
      <c r="H25" s="9">
        <v>718</v>
      </c>
      <c r="I25" s="9">
        <v>743</v>
      </c>
      <c r="J25" s="9">
        <v>744</v>
      </c>
      <c r="K25" s="9">
        <v>720</v>
      </c>
      <c r="L25" s="9">
        <v>744</v>
      </c>
      <c r="M25" s="9">
        <v>720</v>
      </c>
      <c r="N25" s="9">
        <v>731</v>
      </c>
      <c r="O25" s="29">
        <f t="shared" si="0"/>
        <v>8736</v>
      </c>
    </row>
    <row r="26" spans="1:15" ht="15" customHeight="1" x14ac:dyDescent="0.3">
      <c r="A26" s="6" t="s">
        <v>43</v>
      </c>
      <c r="B26" s="6" t="s">
        <v>44</v>
      </c>
      <c r="C26" s="9">
        <v>744</v>
      </c>
      <c r="D26" s="9">
        <v>661</v>
      </c>
      <c r="E26" s="9">
        <v>744</v>
      </c>
      <c r="F26" s="9">
        <v>708</v>
      </c>
      <c r="G26" s="9">
        <v>744</v>
      </c>
      <c r="H26" s="9">
        <v>720</v>
      </c>
      <c r="I26" s="9">
        <v>744</v>
      </c>
      <c r="J26" s="9">
        <v>744</v>
      </c>
      <c r="K26" s="9">
        <v>720</v>
      </c>
      <c r="L26" s="9">
        <v>496</v>
      </c>
      <c r="M26" s="9">
        <v>720</v>
      </c>
      <c r="N26" s="9">
        <v>744</v>
      </c>
      <c r="O26" s="29">
        <f t="shared" si="0"/>
        <v>8489</v>
      </c>
    </row>
    <row r="27" spans="1:15" ht="15" customHeight="1" x14ac:dyDescent="0.3">
      <c r="A27" s="6" t="s">
        <v>46</v>
      </c>
      <c r="B27" s="6" t="s">
        <v>47</v>
      </c>
      <c r="C27" s="9">
        <v>740</v>
      </c>
      <c r="D27" s="9">
        <v>672</v>
      </c>
      <c r="E27" s="9">
        <v>736</v>
      </c>
      <c r="F27" s="9">
        <v>720</v>
      </c>
      <c r="G27" s="9">
        <v>596</v>
      </c>
      <c r="H27" s="9">
        <v>609</v>
      </c>
      <c r="I27" s="9">
        <v>707</v>
      </c>
      <c r="J27" s="9">
        <v>735</v>
      </c>
      <c r="K27" s="9">
        <v>718</v>
      </c>
      <c r="L27" s="9">
        <v>744</v>
      </c>
      <c r="M27" s="9">
        <v>716</v>
      </c>
      <c r="N27" s="9">
        <v>706</v>
      </c>
      <c r="O27" s="29">
        <f t="shared" si="0"/>
        <v>8399</v>
      </c>
    </row>
    <row r="28" spans="1:15" ht="15" customHeight="1" x14ac:dyDescent="0.3">
      <c r="A28" s="6" t="s">
        <v>440</v>
      </c>
      <c r="B28" s="6" t="s">
        <v>437</v>
      </c>
      <c r="C28" s="9"/>
      <c r="D28" s="9"/>
      <c r="E28" s="9"/>
      <c r="F28" s="9"/>
      <c r="G28" s="9"/>
      <c r="H28" s="9"/>
      <c r="I28" s="9"/>
      <c r="J28" s="9">
        <v>744</v>
      </c>
      <c r="K28" s="9">
        <v>720</v>
      </c>
      <c r="L28" s="9">
        <v>744</v>
      </c>
      <c r="M28" s="9">
        <v>720</v>
      </c>
      <c r="N28" s="9">
        <v>734</v>
      </c>
      <c r="O28" s="29">
        <f t="shared" si="0"/>
        <v>3662</v>
      </c>
    </row>
    <row r="29" spans="1:15" ht="15" customHeight="1" x14ac:dyDescent="0.3">
      <c r="A29" s="6" t="s">
        <v>49</v>
      </c>
      <c r="B29" s="6" t="s">
        <v>33</v>
      </c>
      <c r="C29" s="9">
        <v>743</v>
      </c>
      <c r="D29" s="9">
        <v>598</v>
      </c>
      <c r="E29" s="9">
        <v>744</v>
      </c>
      <c r="F29" s="9">
        <v>666</v>
      </c>
      <c r="G29" s="9">
        <v>584</v>
      </c>
      <c r="H29" s="9">
        <v>562</v>
      </c>
      <c r="I29" s="9">
        <v>743</v>
      </c>
      <c r="J29" s="9">
        <v>688</v>
      </c>
      <c r="K29" s="9">
        <v>720</v>
      </c>
      <c r="L29" s="9">
        <v>730</v>
      </c>
      <c r="M29" s="9">
        <v>718</v>
      </c>
      <c r="N29" s="9">
        <v>738</v>
      </c>
      <c r="O29" s="29">
        <f t="shared" si="0"/>
        <v>8234</v>
      </c>
    </row>
    <row r="30" spans="1:15" ht="15" customHeight="1" x14ac:dyDescent="0.3">
      <c r="A30" s="6" t="s">
        <v>50</v>
      </c>
      <c r="B30" s="6" t="s">
        <v>51</v>
      </c>
      <c r="C30" s="9">
        <v>744</v>
      </c>
      <c r="D30" s="9">
        <v>672</v>
      </c>
      <c r="E30" s="9">
        <v>744</v>
      </c>
      <c r="F30" s="9">
        <v>720</v>
      </c>
      <c r="G30" s="9">
        <v>744</v>
      </c>
      <c r="H30" s="9">
        <v>720</v>
      </c>
      <c r="I30" s="9">
        <v>744</v>
      </c>
      <c r="J30" s="9">
        <v>740</v>
      </c>
      <c r="K30" s="9">
        <v>720</v>
      </c>
      <c r="L30" s="9">
        <v>744</v>
      </c>
      <c r="M30" s="9">
        <v>720</v>
      </c>
      <c r="N30" s="9">
        <v>744</v>
      </c>
      <c r="O30" s="29">
        <f t="shared" si="0"/>
        <v>8756</v>
      </c>
    </row>
    <row r="31" spans="1:15" ht="15" customHeight="1" x14ac:dyDescent="0.3">
      <c r="A31" s="6" t="s">
        <v>53</v>
      </c>
      <c r="B31" s="6" t="s">
        <v>33</v>
      </c>
      <c r="C31" s="9">
        <v>744</v>
      </c>
      <c r="D31" s="9">
        <v>670</v>
      </c>
      <c r="E31" s="9">
        <v>499</v>
      </c>
      <c r="F31" s="9">
        <v>553</v>
      </c>
      <c r="G31" s="9">
        <v>495</v>
      </c>
      <c r="H31" s="9">
        <v>532</v>
      </c>
      <c r="I31" s="9">
        <v>743</v>
      </c>
      <c r="J31" s="9">
        <v>693</v>
      </c>
      <c r="K31" s="9">
        <v>720</v>
      </c>
      <c r="L31" s="9">
        <v>733</v>
      </c>
      <c r="M31" s="9">
        <v>718</v>
      </c>
      <c r="N31" s="9">
        <v>744</v>
      </c>
      <c r="O31" s="29">
        <f t="shared" si="0"/>
        <v>7844</v>
      </c>
    </row>
    <row r="32" spans="1:15" ht="15" customHeight="1" x14ac:dyDescent="0.3">
      <c r="A32" s="6" t="s">
        <v>441</v>
      </c>
      <c r="B32" s="6" t="s">
        <v>437</v>
      </c>
      <c r="C32" s="9"/>
      <c r="D32" s="9"/>
      <c r="E32" s="9"/>
      <c r="F32" s="9"/>
      <c r="G32" s="9">
        <v>336</v>
      </c>
      <c r="H32" s="9">
        <v>720</v>
      </c>
      <c r="I32" s="9">
        <v>738</v>
      </c>
      <c r="J32" s="9">
        <v>744</v>
      </c>
      <c r="K32" s="9">
        <v>720</v>
      </c>
      <c r="L32" s="9">
        <v>744</v>
      </c>
      <c r="M32" s="9">
        <v>720</v>
      </c>
      <c r="N32" s="9">
        <v>734</v>
      </c>
      <c r="O32" s="29">
        <f t="shared" si="0"/>
        <v>5456</v>
      </c>
    </row>
    <row r="33" spans="1:15" ht="15" customHeight="1" x14ac:dyDescent="0.3">
      <c r="A33" s="6" t="s">
        <v>54</v>
      </c>
      <c r="B33" s="6" t="s">
        <v>55</v>
      </c>
      <c r="C33" s="9">
        <v>428</v>
      </c>
      <c r="D33" s="9">
        <v>495</v>
      </c>
      <c r="E33" s="9">
        <v>740</v>
      </c>
      <c r="F33" s="9">
        <v>720</v>
      </c>
      <c r="G33" s="9">
        <v>708</v>
      </c>
      <c r="H33" s="9">
        <v>716</v>
      </c>
      <c r="I33" s="9">
        <v>742</v>
      </c>
      <c r="J33" s="9">
        <v>744</v>
      </c>
      <c r="K33" s="9">
        <v>694</v>
      </c>
      <c r="L33" s="9">
        <v>739</v>
      </c>
      <c r="M33" s="9">
        <v>720</v>
      </c>
      <c r="N33" s="9">
        <v>744</v>
      </c>
      <c r="O33" s="29">
        <f t="shared" si="0"/>
        <v>8190</v>
      </c>
    </row>
    <row r="34" spans="1:15" ht="15" customHeight="1" x14ac:dyDescent="0.3">
      <c r="A34" s="6" t="s">
        <v>57</v>
      </c>
      <c r="B34" s="6" t="s">
        <v>36</v>
      </c>
      <c r="C34" s="9">
        <v>744</v>
      </c>
      <c r="D34" s="9">
        <v>672</v>
      </c>
      <c r="E34" s="9">
        <v>744</v>
      </c>
      <c r="F34" s="9">
        <v>720</v>
      </c>
      <c r="G34" s="9">
        <v>744</v>
      </c>
      <c r="H34" s="9">
        <v>720</v>
      </c>
      <c r="I34" s="9">
        <v>744</v>
      </c>
      <c r="J34" s="9">
        <v>744</v>
      </c>
      <c r="K34" s="9">
        <v>720</v>
      </c>
      <c r="L34" s="9">
        <v>744</v>
      </c>
      <c r="M34" s="9">
        <v>720</v>
      </c>
      <c r="N34" s="9">
        <v>739</v>
      </c>
      <c r="O34" s="29">
        <f t="shared" si="0"/>
        <v>8755</v>
      </c>
    </row>
    <row r="35" spans="1:15" ht="15" customHeight="1" x14ac:dyDescent="0.3">
      <c r="A35" s="6" t="s">
        <v>58</v>
      </c>
      <c r="B35" s="6" t="s">
        <v>59</v>
      </c>
      <c r="C35" s="9">
        <v>744</v>
      </c>
      <c r="D35" s="9">
        <v>670</v>
      </c>
      <c r="E35" s="9">
        <v>744</v>
      </c>
      <c r="F35" s="9">
        <v>716</v>
      </c>
      <c r="G35" s="9">
        <v>744</v>
      </c>
      <c r="H35" s="9">
        <v>716</v>
      </c>
      <c r="I35" s="9">
        <v>744</v>
      </c>
      <c r="J35" s="9">
        <v>736</v>
      </c>
      <c r="K35" s="9">
        <v>720</v>
      </c>
      <c r="L35" s="9">
        <v>744</v>
      </c>
      <c r="M35" s="9">
        <v>720</v>
      </c>
      <c r="N35" s="9">
        <v>744</v>
      </c>
      <c r="O35" s="29">
        <f t="shared" si="0"/>
        <v>8742</v>
      </c>
    </row>
    <row r="36" spans="1:15" ht="15" customHeight="1" x14ac:dyDescent="0.3">
      <c r="A36" s="6" t="s">
        <v>61</v>
      </c>
      <c r="B36" s="6" t="s">
        <v>62</v>
      </c>
      <c r="C36" s="9">
        <v>744</v>
      </c>
      <c r="D36" s="9">
        <v>672</v>
      </c>
      <c r="E36" s="9">
        <v>744</v>
      </c>
      <c r="F36" s="9">
        <v>720</v>
      </c>
      <c r="G36" s="9">
        <v>744</v>
      </c>
      <c r="H36" s="9">
        <v>720</v>
      </c>
      <c r="I36" s="9">
        <v>744</v>
      </c>
      <c r="J36" s="9">
        <v>744</v>
      </c>
      <c r="K36" s="9">
        <v>526</v>
      </c>
      <c r="L36" s="9">
        <v>496</v>
      </c>
      <c r="M36" s="9">
        <v>720</v>
      </c>
      <c r="N36" s="9">
        <v>744</v>
      </c>
      <c r="O36" s="29">
        <f t="shared" si="0"/>
        <v>8318</v>
      </c>
    </row>
    <row r="37" spans="1:15" ht="15" customHeight="1" x14ac:dyDescent="0.3">
      <c r="A37" s="6" t="s">
        <v>64</v>
      </c>
      <c r="B37" s="6" t="s">
        <v>65</v>
      </c>
      <c r="C37" s="9">
        <v>730</v>
      </c>
      <c r="D37" s="9">
        <v>672</v>
      </c>
      <c r="E37" s="9">
        <v>736</v>
      </c>
      <c r="F37" s="9">
        <v>720</v>
      </c>
      <c r="G37" s="9">
        <v>744</v>
      </c>
      <c r="H37" s="9">
        <v>720</v>
      </c>
      <c r="I37" s="9">
        <v>744</v>
      </c>
      <c r="J37" s="9">
        <v>742</v>
      </c>
      <c r="K37" s="9">
        <v>720</v>
      </c>
      <c r="L37" s="9">
        <v>744</v>
      </c>
      <c r="M37" s="9">
        <v>720</v>
      </c>
      <c r="N37" s="9">
        <v>744</v>
      </c>
      <c r="O37" s="29">
        <f t="shared" si="0"/>
        <v>8736</v>
      </c>
    </row>
    <row r="38" spans="1:15" ht="15" customHeight="1" x14ac:dyDescent="0.3">
      <c r="A38" s="6" t="s">
        <v>66</v>
      </c>
      <c r="B38" s="6" t="s">
        <v>62</v>
      </c>
      <c r="C38" s="9">
        <v>744</v>
      </c>
      <c r="D38" s="9">
        <v>672</v>
      </c>
      <c r="E38" s="9">
        <v>744</v>
      </c>
      <c r="F38" s="9">
        <v>715</v>
      </c>
      <c r="G38" s="9">
        <v>743</v>
      </c>
      <c r="H38" s="9">
        <v>712</v>
      </c>
      <c r="I38" s="9">
        <v>744</v>
      </c>
      <c r="J38" s="9">
        <v>744</v>
      </c>
      <c r="K38" s="9">
        <v>526</v>
      </c>
      <c r="L38" s="9">
        <v>499</v>
      </c>
      <c r="M38" s="9">
        <v>588</v>
      </c>
      <c r="N38" s="9">
        <v>744</v>
      </c>
      <c r="O38" s="29">
        <f t="shared" si="0"/>
        <v>8175</v>
      </c>
    </row>
    <row r="39" spans="1:15" ht="15" customHeight="1" x14ac:dyDescent="0.3">
      <c r="A39" s="6" t="s">
        <v>369</v>
      </c>
      <c r="B39" s="6" t="s">
        <v>362</v>
      </c>
      <c r="C39" s="9"/>
      <c r="D39" s="9"/>
      <c r="E39" s="9">
        <v>408</v>
      </c>
      <c r="F39" s="9">
        <v>720</v>
      </c>
      <c r="G39" s="9">
        <v>740</v>
      </c>
      <c r="H39" s="9">
        <v>720</v>
      </c>
      <c r="I39" s="9">
        <v>744</v>
      </c>
      <c r="J39" s="9">
        <v>744</v>
      </c>
      <c r="K39" s="9">
        <v>720</v>
      </c>
      <c r="L39" s="9">
        <v>744</v>
      </c>
      <c r="M39" s="9">
        <v>720</v>
      </c>
      <c r="N39" s="9">
        <v>744</v>
      </c>
      <c r="O39" s="29">
        <f t="shared" si="0"/>
        <v>7004</v>
      </c>
    </row>
    <row r="40" spans="1:15" ht="15" customHeight="1" x14ac:dyDescent="0.3">
      <c r="A40" s="6" t="s">
        <v>442</v>
      </c>
      <c r="B40" s="6" t="s">
        <v>26</v>
      </c>
      <c r="C40" s="9"/>
      <c r="D40" s="9"/>
      <c r="E40" s="9"/>
      <c r="F40" s="9">
        <v>408</v>
      </c>
      <c r="G40" s="9">
        <v>744</v>
      </c>
      <c r="H40" s="9">
        <v>711</v>
      </c>
      <c r="I40" s="9">
        <v>742</v>
      </c>
      <c r="J40" s="9">
        <v>686</v>
      </c>
      <c r="K40" s="9">
        <v>696</v>
      </c>
      <c r="L40" s="9">
        <v>740</v>
      </c>
      <c r="M40" s="9">
        <v>720</v>
      </c>
      <c r="N40" s="9">
        <v>744</v>
      </c>
      <c r="O40" s="29">
        <f t="shared" si="0"/>
        <v>6191</v>
      </c>
    </row>
    <row r="41" spans="1:15" ht="15" customHeight="1" x14ac:dyDescent="0.3">
      <c r="A41" s="6" t="s">
        <v>443</v>
      </c>
      <c r="B41" s="6" t="s">
        <v>392</v>
      </c>
      <c r="C41" s="9"/>
      <c r="D41" s="9"/>
      <c r="E41" s="9"/>
      <c r="F41" s="9"/>
      <c r="G41" s="9"/>
      <c r="H41" s="9"/>
      <c r="I41" s="9"/>
      <c r="J41" s="9">
        <v>696</v>
      </c>
      <c r="K41" s="9">
        <v>718</v>
      </c>
      <c r="L41" s="9">
        <v>744</v>
      </c>
      <c r="M41" s="9">
        <v>720</v>
      </c>
      <c r="N41" s="9">
        <v>744</v>
      </c>
      <c r="O41" s="29">
        <f t="shared" si="0"/>
        <v>3622</v>
      </c>
    </row>
    <row r="42" spans="1:15" ht="15" customHeight="1" x14ac:dyDescent="0.3">
      <c r="A42" s="6" t="s">
        <v>444</v>
      </c>
      <c r="B42" s="6" t="s">
        <v>386</v>
      </c>
      <c r="C42" s="9"/>
      <c r="D42" s="9"/>
      <c r="E42" s="9"/>
      <c r="F42" s="9"/>
      <c r="G42" s="9"/>
      <c r="H42" s="9"/>
      <c r="I42" s="9"/>
      <c r="J42" s="9">
        <v>739</v>
      </c>
      <c r="K42" s="9">
        <v>717</v>
      </c>
      <c r="L42" s="9">
        <v>743</v>
      </c>
      <c r="M42" s="9">
        <v>600</v>
      </c>
      <c r="N42" s="9">
        <v>744</v>
      </c>
      <c r="O42" s="29">
        <f t="shared" si="0"/>
        <v>3543</v>
      </c>
    </row>
    <row r="43" spans="1:15" ht="15" customHeight="1" x14ac:dyDescent="0.3">
      <c r="A43" s="6" t="s">
        <v>67</v>
      </c>
      <c r="B43" s="6" t="s">
        <v>68</v>
      </c>
      <c r="C43" s="9">
        <v>744</v>
      </c>
      <c r="D43" s="9">
        <v>672</v>
      </c>
      <c r="E43" s="9">
        <v>743</v>
      </c>
      <c r="F43" s="9">
        <v>720</v>
      </c>
      <c r="G43" s="9">
        <v>744</v>
      </c>
      <c r="H43" s="9">
        <v>720</v>
      </c>
      <c r="I43" s="9">
        <v>725</v>
      </c>
      <c r="J43" s="9">
        <v>729</v>
      </c>
      <c r="K43" s="9">
        <v>720</v>
      </c>
      <c r="L43" s="9">
        <v>744</v>
      </c>
      <c r="M43" s="9">
        <v>710</v>
      </c>
      <c r="N43" s="9">
        <v>744</v>
      </c>
      <c r="O43" s="29">
        <f t="shared" si="0"/>
        <v>8715</v>
      </c>
    </row>
    <row r="44" spans="1:15" ht="15" customHeight="1" x14ac:dyDescent="0.3">
      <c r="A44" s="6" t="s">
        <v>70</v>
      </c>
      <c r="B44" s="6" t="s">
        <v>71</v>
      </c>
      <c r="C44" s="9">
        <v>568</v>
      </c>
      <c r="D44" s="9">
        <v>652</v>
      </c>
      <c r="E44" s="9">
        <v>744</v>
      </c>
      <c r="F44" s="9">
        <v>697</v>
      </c>
      <c r="G44" s="9">
        <v>735</v>
      </c>
      <c r="H44" s="9">
        <v>720</v>
      </c>
      <c r="I44" s="9">
        <v>744</v>
      </c>
      <c r="J44" s="9">
        <v>744</v>
      </c>
      <c r="K44" s="9">
        <v>720</v>
      </c>
      <c r="L44" s="9">
        <v>744</v>
      </c>
      <c r="M44" s="9">
        <v>712</v>
      </c>
      <c r="N44" s="9">
        <v>744</v>
      </c>
      <c r="O44" s="29">
        <f t="shared" si="0"/>
        <v>8524</v>
      </c>
    </row>
    <row r="45" spans="1:15" ht="15" customHeight="1" x14ac:dyDescent="0.3">
      <c r="A45" s="6" t="s">
        <v>73</v>
      </c>
      <c r="B45" s="6" t="s">
        <v>38</v>
      </c>
      <c r="C45" s="9">
        <v>733</v>
      </c>
      <c r="D45" s="9">
        <v>666</v>
      </c>
      <c r="E45" s="9">
        <v>730</v>
      </c>
      <c r="F45" s="9">
        <v>720</v>
      </c>
      <c r="G45" s="9">
        <v>744</v>
      </c>
      <c r="H45" s="9">
        <v>720</v>
      </c>
      <c r="I45" s="9">
        <v>744</v>
      </c>
      <c r="J45" s="9">
        <v>744</v>
      </c>
      <c r="K45" s="9">
        <v>720</v>
      </c>
      <c r="L45" s="9">
        <v>744</v>
      </c>
      <c r="M45" s="9">
        <v>720</v>
      </c>
      <c r="N45" s="9">
        <v>736</v>
      </c>
      <c r="O45" s="29">
        <f t="shared" si="0"/>
        <v>8721</v>
      </c>
    </row>
    <row r="46" spans="1:15" ht="15" customHeight="1" x14ac:dyDescent="0.3">
      <c r="A46" s="6" t="s">
        <v>74</v>
      </c>
      <c r="B46" s="6" t="s">
        <v>16</v>
      </c>
      <c r="C46" s="9">
        <v>730</v>
      </c>
      <c r="D46" s="9">
        <v>640</v>
      </c>
      <c r="E46" s="9">
        <v>744</v>
      </c>
      <c r="F46" s="9">
        <v>720</v>
      </c>
      <c r="G46" s="9">
        <v>744</v>
      </c>
      <c r="H46" s="9">
        <v>717</v>
      </c>
      <c r="I46" s="9">
        <v>744</v>
      </c>
      <c r="J46" s="9">
        <v>666</v>
      </c>
      <c r="K46" s="9">
        <v>720</v>
      </c>
      <c r="L46" s="9">
        <v>744</v>
      </c>
      <c r="M46" s="9">
        <v>720</v>
      </c>
      <c r="N46" s="9">
        <v>744</v>
      </c>
      <c r="O46" s="29">
        <f t="shared" si="0"/>
        <v>8633</v>
      </c>
    </row>
    <row r="47" spans="1:15" ht="15" customHeight="1" x14ac:dyDescent="0.3">
      <c r="A47" s="6" t="s">
        <v>75</v>
      </c>
      <c r="B47" s="6" t="s">
        <v>29</v>
      </c>
      <c r="C47" s="9">
        <v>744</v>
      </c>
      <c r="D47" s="9">
        <v>670</v>
      </c>
      <c r="E47" s="9">
        <v>744</v>
      </c>
      <c r="F47" s="9">
        <v>720</v>
      </c>
      <c r="G47" s="9">
        <v>744</v>
      </c>
      <c r="H47" s="9">
        <v>720</v>
      </c>
      <c r="I47" s="9">
        <v>740</v>
      </c>
      <c r="J47" s="9">
        <v>744</v>
      </c>
      <c r="K47" s="9">
        <v>720</v>
      </c>
      <c r="L47" s="9">
        <v>744</v>
      </c>
      <c r="M47" s="9">
        <v>712</v>
      </c>
      <c r="N47" s="9">
        <v>744</v>
      </c>
      <c r="O47" s="29">
        <f t="shared" si="0"/>
        <v>8746</v>
      </c>
    </row>
    <row r="48" spans="1:15" ht="15" customHeight="1" x14ac:dyDescent="0.3">
      <c r="A48" s="6" t="s">
        <v>76</v>
      </c>
      <c r="B48" s="6" t="s">
        <v>77</v>
      </c>
      <c r="C48" s="9">
        <v>744</v>
      </c>
      <c r="D48" s="9">
        <v>648</v>
      </c>
      <c r="E48" s="9">
        <v>739</v>
      </c>
      <c r="F48" s="9">
        <v>718</v>
      </c>
      <c r="G48" s="9">
        <v>732</v>
      </c>
      <c r="H48" s="9">
        <v>720</v>
      </c>
      <c r="I48" s="9">
        <v>742</v>
      </c>
      <c r="J48" s="9">
        <v>742</v>
      </c>
      <c r="K48" s="9">
        <v>720</v>
      </c>
      <c r="L48" s="9">
        <v>744</v>
      </c>
      <c r="M48" s="9">
        <v>480</v>
      </c>
      <c r="N48" s="9">
        <v>717</v>
      </c>
      <c r="O48" s="29">
        <f t="shared" si="0"/>
        <v>8446</v>
      </c>
    </row>
    <row r="49" spans="1:15" ht="15" customHeight="1" x14ac:dyDescent="0.3">
      <c r="A49" s="6" t="s">
        <v>445</v>
      </c>
      <c r="B49" s="6" t="s">
        <v>392</v>
      </c>
      <c r="C49" s="9"/>
      <c r="D49" s="9"/>
      <c r="E49" s="9"/>
      <c r="F49" s="9"/>
      <c r="G49" s="9"/>
      <c r="H49" s="9"/>
      <c r="I49" s="9"/>
      <c r="J49" s="9">
        <v>692</v>
      </c>
      <c r="K49" s="9">
        <v>718</v>
      </c>
      <c r="L49" s="9">
        <v>744</v>
      </c>
      <c r="M49" s="9">
        <v>720</v>
      </c>
      <c r="N49" s="9">
        <v>396</v>
      </c>
      <c r="O49" s="29">
        <f t="shared" si="0"/>
        <v>3270</v>
      </c>
    </row>
    <row r="50" spans="1:15" ht="15" customHeight="1" x14ac:dyDescent="0.3">
      <c r="A50" s="6" t="s">
        <v>79</v>
      </c>
      <c r="B50" s="6" t="s">
        <v>80</v>
      </c>
      <c r="C50" s="9">
        <v>742</v>
      </c>
      <c r="D50" s="9">
        <v>672</v>
      </c>
      <c r="E50" s="9">
        <v>743</v>
      </c>
      <c r="F50" s="9">
        <v>711</v>
      </c>
      <c r="G50" s="9">
        <v>738</v>
      </c>
      <c r="H50" s="9">
        <v>694</v>
      </c>
      <c r="I50" s="9">
        <v>744</v>
      </c>
      <c r="J50" s="9">
        <v>744</v>
      </c>
      <c r="K50" s="9">
        <v>707</v>
      </c>
      <c r="L50" s="9">
        <v>744</v>
      </c>
      <c r="M50" s="9">
        <v>720</v>
      </c>
      <c r="N50" s="9">
        <v>744</v>
      </c>
      <c r="O50" s="29">
        <f t="shared" si="0"/>
        <v>8703</v>
      </c>
    </row>
    <row r="51" spans="1:15" ht="15" customHeight="1" x14ac:dyDescent="0.3">
      <c r="A51" s="6" t="s">
        <v>82</v>
      </c>
      <c r="B51" s="6" t="s">
        <v>33</v>
      </c>
      <c r="C51" s="9">
        <v>460</v>
      </c>
      <c r="D51" s="9">
        <v>466</v>
      </c>
      <c r="E51" s="9">
        <v>419</v>
      </c>
      <c r="F51" s="9">
        <v>558</v>
      </c>
      <c r="G51" s="9">
        <v>474</v>
      </c>
      <c r="H51" s="9">
        <v>491</v>
      </c>
      <c r="I51" s="9">
        <v>743</v>
      </c>
      <c r="J51" s="9">
        <v>608</v>
      </c>
      <c r="K51" s="9">
        <v>720</v>
      </c>
      <c r="L51" s="9">
        <v>742</v>
      </c>
      <c r="M51" s="9">
        <v>718</v>
      </c>
      <c r="N51" s="9">
        <v>744</v>
      </c>
      <c r="O51" s="29">
        <f t="shared" si="0"/>
        <v>7143</v>
      </c>
    </row>
    <row r="52" spans="1:15" ht="15" customHeight="1" x14ac:dyDescent="0.3">
      <c r="A52" s="6" t="s">
        <v>83</v>
      </c>
      <c r="B52" s="6" t="s">
        <v>44</v>
      </c>
      <c r="C52" s="9">
        <v>744</v>
      </c>
      <c r="D52" s="9">
        <v>664</v>
      </c>
      <c r="E52" s="9">
        <v>744</v>
      </c>
      <c r="F52" s="9">
        <v>720</v>
      </c>
      <c r="G52" s="9">
        <v>744</v>
      </c>
      <c r="H52" s="9">
        <v>720</v>
      </c>
      <c r="I52" s="9">
        <v>744</v>
      </c>
      <c r="J52" s="9">
        <v>742</v>
      </c>
      <c r="K52" s="9">
        <v>720</v>
      </c>
      <c r="L52" s="9">
        <v>744</v>
      </c>
      <c r="M52" s="9">
        <v>720</v>
      </c>
      <c r="N52" s="9">
        <v>744</v>
      </c>
      <c r="O52" s="29">
        <f t="shared" si="0"/>
        <v>8750</v>
      </c>
    </row>
    <row r="53" spans="1:15" ht="15" customHeight="1" x14ac:dyDescent="0.3">
      <c r="A53" s="6" t="s">
        <v>446</v>
      </c>
      <c r="B53" s="6" t="s">
        <v>392</v>
      </c>
      <c r="C53" s="9"/>
      <c r="D53" s="9"/>
      <c r="E53" s="9"/>
      <c r="F53" s="9"/>
      <c r="G53" s="9"/>
      <c r="H53" s="9"/>
      <c r="I53" s="9"/>
      <c r="J53" s="9">
        <v>249</v>
      </c>
      <c r="K53" s="9">
        <v>544</v>
      </c>
      <c r="L53" s="9">
        <v>744</v>
      </c>
      <c r="M53" s="9">
        <v>720</v>
      </c>
      <c r="N53" s="9">
        <v>744</v>
      </c>
      <c r="O53" s="29">
        <f t="shared" si="0"/>
        <v>3001</v>
      </c>
    </row>
    <row r="54" spans="1:15" ht="15" customHeight="1" x14ac:dyDescent="0.3">
      <c r="A54" s="6" t="s">
        <v>84</v>
      </c>
      <c r="B54" s="6" t="s">
        <v>85</v>
      </c>
      <c r="C54" s="9">
        <v>744</v>
      </c>
      <c r="D54" s="9">
        <v>672</v>
      </c>
      <c r="E54" s="9">
        <v>712</v>
      </c>
      <c r="F54" s="9">
        <v>717</v>
      </c>
      <c r="G54" s="9">
        <v>674</v>
      </c>
      <c r="H54" s="9">
        <v>706</v>
      </c>
      <c r="I54" s="9">
        <v>710</v>
      </c>
      <c r="J54" s="9">
        <v>741</v>
      </c>
      <c r="K54" s="9">
        <v>708</v>
      </c>
      <c r="L54" s="9">
        <v>730</v>
      </c>
      <c r="M54" s="9">
        <v>712</v>
      </c>
      <c r="N54" s="9">
        <v>658</v>
      </c>
      <c r="O54" s="29">
        <f t="shared" si="0"/>
        <v>8484</v>
      </c>
    </row>
    <row r="55" spans="1:15" ht="15" customHeight="1" x14ac:dyDescent="0.3">
      <c r="A55" s="6" t="s">
        <v>87</v>
      </c>
      <c r="B55" s="6" t="s">
        <v>36</v>
      </c>
      <c r="C55" s="9">
        <v>744</v>
      </c>
      <c r="D55" s="9">
        <v>672</v>
      </c>
      <c r="E55" s="9">
        <v>718</v>
      </c>
      <c r="F55" s="9">
        <v>720</v>
      </c>
      <c r="G55" s="9">
        <v>744</v>
      </c>
      <c r="H55" s="9">
        <v>720</v>
      </c>
      <c r="I55" s="9">
        <v>744</v>
      </c>
      <c r="J55" s="9">
        <v>744</v>
      </c>
      <c r="K55" s="9">
        <v>720</v>
      </c>
      <c r="L55" s="9">
        <v>744</v>
      </c>
      <c r="M55" s="9">
        <v>720</v>
      </c>
      <c r="N55" s="9">
        <v>743</v>
      </c>
      <c r="O55" s="29">
        <f t="shared" si="0"/>
        <v>8733</v>
      </c>
    </row>
    <row r="56" spans="1:15" ht="15" customHeight="1" x14ac:dyDescent="0.3">
      <c r="A56" s="6" t="s">
        <v>88</v>
      </c>
      <c r="B56" s="6" t="s">
        <v>89</v>
      </c>
      <c r="C56" s="9">
        <v>732</v>
      </c>
      <c r="D56" s="9">
        <v>666</v>
      </c>
      <c r="E56" s="9">
        <v>744</v>
      </c>
      <c r="F56" s="9">
        <v>710</v>
      </c>
      <c r="G56" s="9">
        <v>743</v>
      </c>
      <c r="H56" s="9">
        <v>547</v>
      </c>
      <c r="I56" s="9">
        <v>738</v>
      </c>
      <c r="J56" s="9">
        <v>744</v>
      </c>
      <c r="K56" s="9">
        <v>720</v>
      </c>
      <c r="L56" s="9">
        <v>744</v>
      </c>
      <c r="M56" s="9">
        <v>720</v>
      </c>
      <c r="N56" s="9">
        <v>744</v>
      </c>
      <c r="O56" s="29">
        <f t="shared" si="0"/>
        <v>8552</v>
      </c>
    </row>
    <row r="57" spans="1:15" ht="15" customHeight="1" x14ac:dyDescent="0.3">
      <c r="A57" s="6" t="s">
        <v>91</v>
      </c>
      <c r="B57" s="6" t="s">
        <v>85</v>
      </c>
      <c r="C57" s="9">
        <v>744</v>
      </c>
      <c r="D57" s="9">
        <v>672</v>
      </c>
      <c r="E57" s="9">
        <v>734</v>
      </c>
      <c r="F57" s="9">
        <v>717</v>
      </c>
      <c r="G57" s="9">
        <v>732</v>
      </c>
      <c r="H57" s="9">
        <v>706</v>
      </c>
      <c r="I57" s="9">
        <v>713</v>
      </c>
      <c r="J57" s="9">
        <v>726</v>
      </c>
      <c r="K57" s="9">
        <v>686</v>
      </c>
      <c r="L57" s="9">
        <v>729</v>
      </c>
      <c r="M57" s="9">
        <v>720</v>
      </c>
      <c r="N57" s="9">
        <v>690</v>
      </c>
      <c r="O57" s="29">
        <f t="shared" si="0"/>
        <v>8569</v>
      </c>
    </row>
    <row r="58" spans="1:15" ht="15" customHeight="1" x14ac:dyDescent="0.3">
      <c r="A58" s="6" t="s">
        <v>92</v>
      </c>
      <c r="B58" s="6" t="s">
        <v>51</v>
      </c>
      <c r="C58" s="9">
        <v>744</v>
      </c>
      <c r="D58" s="9">
        <v>672</v>
      </c>
      <c r="E58" s="9">
        <v>744</v>
      </c>
      <c r="F58" s="9">
        <v>720</v>
      </c>
      <c r="G58" s="9">
        <v>738</v>
      </c>
      <c r="H58" s="9">
        <v>720</v>
      </c>
      <c r="I58" s="9">
        <v>744</v>
      </c>
      <c r="J58" s="9">
        <v>734</v>
      </c>
      <c r="K58" s="9">
        <v>720</v>
      </c>
      <c r="L58" s="9">
        <v>744</v>
      </c>
      <c r="M58" s="9">
        <v>705</v>
      </c>
      <c r="N58" s="9">
        <v>744</v>
      </c>
      <c r="O58" s="29">
        <f t="shared" si="0"/>
        <v>8729</v>
      </c>
    </row>
    <row r="59" spans="1:15" ht="15" customHeight="1" x14ac:dyDescent="0.3">
      <c r="A59" s="6" t="s">
        <v>93</v>
      </c>
      <c r="B59" s="6" t="s">
        <v>85</v>
      </c>
      <c r="C59" s="9">
        <v>744</v>
      </c>
      <c r="D59" s="9">
        <v>672</v>
      </c>
      <c r="E59" s="9">
        <v>712</v>
      </c>
      <c r="F59" s="9">
        <v>685</v>
      </c>
      <c r="G59" s="9">
        <v>674</v>
      </c>
      <c r="H59" s="9">
        <v>706</v>
      </c>
      <c r="I59" s="9">
        <v>710</v>
      </c>
      <c r="J59" s="9">
        <v>741</v>
      </c>
      <c r="K59" s="9">
        <v>708</v>
      </c>
      <c r="L59" s="9">
        <v>730</v>
      </c>
      <c r="M59" s="9">
        <v>712</v>
      </c>
      <c r="N59" s="9">
        <v>658</v>
      </c>
      <c r="O59" s="29">
        <f t="shared" si="0"/>
        <v>8452</v>
      </c>
    </row>
    <row r="60" spans="1:15" ht="15" customHeight="1" x14ac:dyDescent="0.3">
      <c r="A60" s="6" t="s">
        <v>447</v>
      </c>
      <c r="B60" s="6" t="s">
        <v>392</v>
      </c>
      <c r="C60" s="9"/>
      <c r="D60" s="9"/>
      <c r="E60" s="9"/>
      <c r="F60" s="9"/>
      <c r="G60" s="9"/>
      <c r="H60" s="9"/>
      <c r="I60" s="9"/>
      <c r="J60" s="9">
        <v>239</v>
      </c>
      <c r="K60" s="9">
        <v>718</v>
      </c>
      <c r="L60" s="9">
        <v>744</v>
      </c>
      <c r="M60" s="9">
        <v>720</v>
      </c>
      <c r="N60" s="9">
        <v>744</v>
      </c>
      <c r="O60" s="29">
        <f t="shared" si="0"/>
        <v>3165</v>
      </c>
    </row>
    <row r="61" spans="1:15" ht="15" customHeight="1" x14ac:dyDescent="0.3">
      <c r="A61" s="6" t="s">
        <v>448</v>
      </c>
      <c r="B61" s="6" t="s">
        <v>437</v>
      </c>
      <c r="C61" s="9"/>
      <c r="D61" s="9"/>
      <c r="E61" s="9"/>
      <c r="F61" s="9"/>
      <c r="G61" s="9"/>
      <c r="H61" s="9"/>
      <c r="I61" s="9"/>
      <c r="J61" s="9">
        <v>738</v>
      </c>
      <c r="K61" s="9">
        <v>696</v>
      </c>
      <c r="L61" s="9">
        <v>288</v>
      </c>
      <c r="M61" s="9">
        <v>720</v>
      </c>
      <c r="N61" s="9">
        <v>734</v>
      </c>
      <c r="O61" s="29">
        <f t="shared" si="0"/>
        <v>3176</v>
      </c>
    </row>
    <row r="62" spans="1:15" ht="15" customHeight="1" x14ac:dyDescent="0.3">
      <c r="A62" s="6" t="s">
        <v>449</v>
      </c>
      <c r="B62" s="6" t="s">
        <v>26</v>
      </c>
      <c r="C62" s="9"/>
      <c r="D62" s="9"/>
      <c r="E62" s="9"/>
      <c r="F62" s="9">
        <v>408</v>
      </c>
      <c r="G62" s="9">
        <v>744</v>
      </c>
      <c r="H62" s="9">
        <v>720</v>
      </c>
      <c r="I62" s="9">
        <v>742</v>
      </c>
      <c r="J62" s="9">
        <v>744</v>
      </c>
      <c r="K62" s="9">
        <v>720</v>
      </c>
      <c r="L62" s="9">
        <v>732</v>
      </c>
      <c r="M62" s="9">
        <v>720</v>
      </c>
      <c r="N62" s="9">
        <v>744</v>
      </c>
      <c r="O62" s="29">
        <f t="shared" si="0"/>
        <v>6274</v>
      </c>
    </row>
    <row r="63" spans="1:15" ht="15" customHeight="1" x14ac:dyDescent="0.3">
      <c r="A63" s="6" t="s">
        <v>391</v>
      </c>
      <c r="B63" s="6" t="s">
        <v>392</v>
      </c>
      <c r="C63" s="9">
        <v>744</v>
      </c>
      <c r="D63" s="9">
        <v>672</v>
      </c>
      <c r="E63" s="9">
        <v>744</v>
      </c>
      <c r="F63" s="9">
        <v>705</v>
      </c>
      <c r="G63" s="9">
        <v>744</v>
      </c>
      <c r="H63" s="9">
        <v>720</v>
      </c>
      <c r="I63" s="9">
        <v>48</v>
      </c>
      <c r="J63" s="9">
        <v>646</v>
      </c>
      <c r="K63" s="9">
        <v>718</v>
      </c>
      <c r="L63" s="9">
        <v>744</v>
      </c>
      <c r="M63" s="9">
        <v>720</v>
      </c>
      <c r="N63" s="9">
        <v>744</v>
      </c>
      <c r="O63" s="29">
        <f t="shared" si="0"/>
        <v>7949</v>
      </c>
    </row>
    <row r="64" spans="1:15" ht="15" customHeight="1" x14ac:dyDescent="0.3">
      <c r="A64" s="6" t="s">
        <v>395</v>
      </c>
      <c r="B64" s="6" t="s">
        <v>392</v>
      </c>
      <c r="C64" s="9">
        <v>744</v>
      </c>
      <c r="D64" s="9">
        <v>672</v>
      </c>
      <c r="E64" s="9">
        <v>744</v>
      </c>
      <c r="F64" s="9">
        <v>720</v>
      </c>
      <c r="G64" s="9">
        <v>744</v>
      </c>
      <c r="H64" s="9">
        <v>720</v>
      </c>
      <c r="I64" s="9">
        <v>96</v>
      </c>
      <c r="J64" s="9">
        <v>644</v>
      </c>
      <c r="K64" s="9">
        <v>502</v>
      </c>
      <c r="L64" s="9">
        <v>528</v>
      </c>
      <c r="M64" s="9">
        <v>720</v>
      </c>
      <c r="N64" s="9">
        <v>744</v>
      </c>
      <c r="O64" s="29">
        <f t="shared" si="0"/>
        <v>7578</v>
      </c>
    </row>
    <row r="65" spans="1:15" ht="15" customHeight="1" x14ac:dyDescent="0.3">
      <c r="A65" s="6" t="s">
        <v>94</v>
      </c>
      <c r="B65" s="6" t="s">
        <v>95</v>
      </c>
      <c r="C65" s="9">
        <v>744</v>
      </c>
      <c r="D65" s="9">
        <v>672</v>
      </c>
      <c r="E65" s="9">
        <v>743</v>
      </c>
      <c r="F65" s="9">
        <v>720</v>
      </c>
      <c r="G65" s="9">
        <v>744</v>
      </c>
      <c r="H65" s="9">
        <v>720</v>
      </c>
      <c r="I65" s="9">
        <v>744</v>
      </c>
      <c r="J65" s="9">
        <v>744</v>
      </c>
      <c r="K65" s="9">
        <v>720</v>
      </c>
      <c r="L65" s="9">
        <v>744</v>
      </c>
      <c r="M65" s="9">
        <v>720</v>
      </c>
      <c r="N65" s="9">
        <v>744</v>
      </c>
      <c r="O65" s="29">
        <f t="shared" si="0"/>
        <v>8759</v>
      </c>
    </row>
    <row r="66" spans="1:15" ht="15" customHeight="1" x14ac:dyDescent="0.3">
      <c r="A66" s="6" t="s">
        <v>97</v>
      </c>
      <c r="B66" s="6" t="s">
        <v>85</v>
      </c>
      <c r="C66" s="9">
        <v>719</v>
      </c>
      <c r="D66" s="9">
        <v>672</v>
      </c>
      <c r="E66" s="9">
        <v>734</v>
      </c>
      <c r="F66" s="9">
        <v>717</v>
      </c>
      <c r="G66" s="9">
        <v>744</v>
      </c>
      <c r="H66" s="9">
        <v>706</v>
      </c>
      <c r="I66" s="9">
        <v>696</v>
      </c>
      <c r="J66" s="9">
        <v>741</v>
      </c>
      <c r="K66" s="9">
        <v>720</v>
      </c>
      <c r="L66" s="9">
        <v>742</v>
      </c>
      <c r="M66" s="9">
        <v>720</v>
      </c>
      <c r="N66" s="9">
        <v>696</v>
      </c>
      <c r="O66" s="29">
        <f t="shared" si="0"/>
        <v>8607</v>
      </c>
    </row>
    <row r="67" spans="1:15" ht="15" customHeight="1" x14ac:dyDescent="0.3">
      <c r="A67" s="6" t="s">
        <v>98</v>
      </c>
      <c r="B67" s="6" t="s">
        <v>89</v>
      </c>
      <c r="C67" s="9">
        <v>744</v>
      </c>
      <c r="D67" s="9">
        <v>617</v>
      </c>
      <c r="E67" s="9">
        <v>742</v>
      </c>
      <c r="F67" s="9">
        <v>709</v>
      </c>
      <c r="G67" s="9">
        <v>659</v>
      </c>
      <c r="H67" s="9">
        <v>631</v>
      </c>
      <c r="I67" s="9">
        <v>722</v>
      </c>
      <c r="J67" s="9">
        <v>744</v>
      </c>
      <c r="K67" s="9">
        <v>504</v>
      </c>
      <c r="L67" s="9">
        <v>648</v>
      </c>
      <c r="M67" s="9">
        <v>720</v>
      </c>
      <c r="N67" s="9">
        <v>729</v>
      </c>
      <c r="O67" s="29">
        <f t="shared" si="0"/>
        <v>8169</v>
      </c>
    </row>
    <row r="68" spans="1:15" ht="15" customHeight="1" x14ac:dyDescent="0.3">
      <c r="A68" s="6" t="s">
        <v>450</v>
      </c>
      <c r="B68" s="6" t="s">
        <v>397</v>
      </c>
      <c r="C68" s="9"/>
      <c r="D68" s="9"/>
      <c r="E68" s="9"/>
      <c r="F68" s="9">
        <v>282</v>
      </c>
      <c r="G68" s="9">
        <v>726</v>
      </c>
      <c r="H68" s="9">
        <v>718</v>
      </c>
      <c r="I68" s="9">
        <v>744</v>
      </c>
      <c r="J68" s="9">
        <v>744</v>
      </c>
      <c r="K68" s="9">
        <v>720</v>
      </c>
      <c r="L68" s="9">
        <v>742</v>
      </c>
      <c r="M68" s="9">
        <v>720</v>
      </c>
      <c r="N68" s="9">
        <v>733</v>
      </c>
      <c r="O68" s="29">
        <f t="shared" ref="O68:O131" si="1">SUM(C68:N68)</f>
        <v>6129</v>
      </c>
    </row>
    <row r="69" spans="1:15" ht="15" customHeight="1" x14ac:dyDescent="0.3">
      <c r="A69" s="6" t="s">
        <v>99</v>
      </c>
      <c r="B69" s="6" t="s">
        <v>100</v>
      </c>
      <c r="C69" s="9">
        <v>744</v>
      </c>
      <c r="D69" s="9">
        <v>669</v>
      </c>
      <c r="E69" s="9">
        <v>742</v>
      </c>
      <c r="F69" s="9">
        <v>720</v>
      </c>
      <c r="G69" s="9">
        <v>744</v>
      </c>
      <c r="H69" s="9">
        <v>720</v>
      </c>
      <c r="I69" s="9">
        <v>742</v>
      </c>
      <c r="J69" s="9">
        <v>742</v>
      </c>
      <c r="K69" s="9">
        <v>720</v>
      </c>
      <c r="L69" s="9">
        <v>725</v>
      </c>
      <c r="M69" s="9">
        <v>714</v>
      </c>
      <c r="N69" s="9">
        <v>744</v>
      </c>
      <c r="O69" s="29">
        <f t="shared" si="1"/>
        <v>8726</v>
      </c>
    </row>
    <row r="70" spans="1:15" ht="15" customHeight="1" x14ac:dyDescent="0.3">
      <c r="A70" s="6" t="s">
        <v>102</v>
      </c>
      <c r="B70" s="6" t="s">
        <v>85</v>
      </c>
      <c r="C70" s="9">
        <v>744</v>
      </c>
      <c r="D70" s="9">
        <v>672</v>
      </c>
      <c r="E70" s="9">
        <v>734</v>
      </c>
      <c r="F70" s="9">
        <v>645</v>
      </c>
      <c r="G70" s="9">
        <v>744</v>
      </c>
      <c r="H70" s="9">
        <v>706</v>
      </c>
      <c r="I70" s="9">
        <v>728</v>
      </c>
      <c r="J70" s="9">
        <v>701</v>
      </c>
      <c r="K70" s="9">
        <v>704</v>
      </c>
      <c r="L70" s="9">
        <v>726</v>
      </c>
      <c r="M70" s="9">
        <v>720</v>
      </c>
      <c r="N70" s="9">
        <v>676</v>
      </c>
      <c r="O70" s="29">
        <f t="shared" si="1"/>
        <v>8500</v>
      </c>
    </row>
    <row r="71" spans="1:15" ht="15" customHeight="1" x14ac:dyDescent="0.3">
      <c r="A71" s="6" t="s">
        <v>103</v>
      </c>
      <c r="B71" s="6" t="s">
        <v>51</v>
      </c>
      <c r="C71" s="9">
        <v>741</v>
      </c>
      <c r="D71" s="9">
        <v>672</v>
      </c>
      <c r="E71" s="9">
        <v>744</v>
      </c>
      <c r="F71" s="9">
        <v>720</v>
      </c>
      <c r="G71" s="9">
        <v>744</v>
      </c>
      <c r="H71" s="9">
        <v>720</v>
      </c>
      <c r="I71" s="9">
        <v>744</v>
      </c>
      <c r="J71" s="9">
        <v>744</v>
      </c>
      <c r="K71" s="9">
        <v>720</v>
      </c>
      <c r="L71" s="9">
        <v>744</v>
      </c>
      <c r="M71" s="9">
        <v>720</v>
      </c>
      <c r="N71" s="9">
        <v>744</v>
      </c>
      <c r="O71" s="29">
        <f t="shared" si="1"/>
        <v>8757</v>
      </c>
    </row>
    <row r="72" spans="1:15" ht="15" customHeight="1" x14ac:dyDescent="0.3">
      <c r="A72" s="6" t="s">
        <v>104</v>
      </c>
      <c r="B72" s="6" t="s">
        <v>29</v>
      </c>
      <c r="C72" s="9">
        <v>744</v>
      </c>
      <c r="D72" s="9">
        <v>670</v>
      </c>
      <c r="E72" s="9">
        <v>744</v>
      </c>
      <c r="F72" s="9">
        <v>720</v>
      </c>
      <c r="G72" s="9">
        <v>744</v>
      </c>
      <c r="H72" s="9">
        <v>720</v>
      </c>
      <c r="I72" s="9">
        <v>740</v>
      </c>
      <c r="J72" s="9">
        <v>744</v>
      </c>
      <c r="K72" s="9">
        <v>720</v>
      </c>
      <c r="L72" s="9">
        <v>740</v>
      </c>
      <c r="M72" s="9">
        <v>712</v>
      </c>
      <c r="N72" s="9">
        <v>744</v>
      </c>
      <c r="O72" s="29">
        <f t="shared" si="1"/>
        <v>8742</v>
      </c>
    </row>
    <row r="73" spans="1:15" ht="15" customHeight="1" x14ac:dyDescent="0.3">
      <c r="A73" s="6" t="s">
        <v>451</v>
      </c>
      <c r="B73" s="6" t="s">
        <v>392</v>
      </c>
      <c r="C73" s="9"/>
      <c r="D73" s="9"/>
      <c r="E73" s="9"/>
      <c r="F73" s="9"/>
      <c r="G73" s="9"/>
      <c r="H73" s="9"/>
      <c r="I73" s="9"/>
      <c r="J73" s="9"/>
      <c r="K73" s="9">
        <v>706</v>
      </c>
      <c r="L73" s="9">
        <v>744</v>
      </c>
      <c r="M73" s="9">
        <v>720</v>
      </c>
      <c r="N73" s="9">
        <v>744</v>
      </c>
      <c r="O73" s="29">
        <f t="shared" si="1"/>
        <v>2914</v>
      </c>
    </row>
    <row r="74" spans="1:15" ht="15" customHeight="1" x14ac:dyDescent="0.3">
      <c r="A74" s="6" t="s">
        <v>105</v>
      </c>
      <c r="B74" s="6" t="s">
        <v>85</v>
      </c>
      <c r="C74" s="9">
        <v>739</v>
      </c>
      <c r="D74" s="9">
        <v>672</v>
      </c>
      <c r="E74" s="9">
        <v>734</v>
      </c>
      <c r="F74" s="9">
        <v>717</v>
      </c>
      <c r="G74" s="9">
        <v>654</v>
      </c>
      <c r="H74" s="9">
        <v>706</v>
      </c>
      <c r="I74" s="9">
        <v>734</v>
      </c>
      <c r="J74" s="9">
        <v>482</v>
      </c>
      <c r="K74" s="9">
        <v>708</v>
      </c>
      <c r="L74" s="9">
        <v>730</v>
      </c>
      <c r="M74" s="9">
        <v>720</v>
      </c>
      <c r="N74" s="9">
        <v>582</v>
      </c>
      <c r="O74" s="29">
        <f t="shared" si="1"/>
        <v>8178</v>
      </c>
    </row>
    <row r="75" spans="1:15" ht="15" customHeight="1" x14ac:dyDescent="0.3">
      <c r="A75" s="6" t="s">
        <v>453</v>
      </c>
      <c r="B75" s="6" t="s">
        <v>454</v>
      </c>
      <c r="C75" s="9"/>
      <c r="D75" s="9"/>
      <c r="E75" s="9"/>
      <c r="F75" s="9"/>
      <c r="G75" s="9"/>
      <c r="H75" s="9"/>
      <c r="I75" s="9"/>
      <c r="J75" s="9"/>
      <c r="K75" s="9">
        <v>132</v>
      </c>
      <c r="L75" s="9">
        <v>737</v>
      </c>
      <c r="M75" s="9">
        <v>720</v>
      </c>
      <c r="N75" s="9">
        <v>744</v>
      </c>
      <c r="O75" s="29">
        <f t="shared" si="1"/>
        <v>2333</v>
      </c>
    </row>
    <row r="76" spans="1:15" ht="15" customHeight="1" x14ac:dyDescent="0.3">
      <c r="A76" s="6" t="s">
        <v>106</v>
      </c>
      <c r="B76" s="6" t="s">
        <v>38</v>
      </c>
      <c r="C76" s="9">
        <v>744</v>
      </c>
      <c r="D76" s="9">
        <v>672</v>
      </c>
      <c r="E76" s="9">
        <v>743</v>
      </c>
      <c r="F76" s="9">
        <v>720</v>
      </c>
      <c r="G76" s="9">
        <v>744</v>
      </c>
      <c r="H76" s="9">
        <v>717</v>
      </c>
      <c r="I76" s="9">
        <v>744</v>
      </c>
      <c r="J76" s="9">
        <v>744</v>
      </c>
      <c r="K76" s="9">
        <v>679</v>
      </c>
      <c r="L76" s="9">
        <v>744</v>
      </c>
      <c r="M76" s="9">
        <v>709</v>
      </c>
      <c r="N76" s="9">
        <v>742</v>
      </c>
      <c r="O76" s="29">
        <f t="shared" si="1"/>
        <v>8702</v>
      </c>
    </row>
    <row r="77" spans="1:15" ht="15" customHeight="1" x14ac:dyDescent="0.3">
      <c r="A77" s="6" t="s">
        <v>457</v>
      </c>
      <c r="B77" s="6" t="s">
        <v>454</v>
      </c>
      <c r="C77" s="9"/>
      <c r="D77" s="9"/>
      <c r="E77" s="9"/>
      <c r="F77" s="9"/>
      <c r="G77" s="9"/>
      <c r="H77" s="9"/>
      <c r="I77" s="9"/>
      <c r="J77" s="9"/>
      <c r="K77" s="9">
        <v>456</v>
      </c>
      <c r="L77" s="9">
        <v>738</v>
      </c>
      <c r="M77" s="9">
        <v>720</v>
      </c>
      <c r="N77" s="9">
        <v>744</v>
      </c>
      <c r="O77" s="29">
        <f t="shared" si="1"/>
        <v>2658</v>
      </c>
    </row>
    <row r="78" spans="1:15" ht="15" customHeight="1" x14ac:dyDescent="0.3">
      <c r="A78" s="6" t="s">
        <v>458</v>
      </c>
      <c r="B78" s="6" t="s">
        <v>62</v>
      </c>
      <c r="C78" s="9"/>
      <c r="D78" s="9"/>
      <c r="E78" s="9"/>
      <c r="F78" s="9"/>
      <c r="G78" s="9"/>
      <c r="H78" s="9"/>
      <c r="I78" s="9"/>
      <c r="J78" s="9"/>
      <c r="K78" s="9"/>
      <c r="L78" s="9">
        <v>528</v>
      </c>
      <c r="M78" s="9">
        <v>720</v>
      </c>
      <c r="N78" s="9">
        <v>744</v>
      </c>
      <c r="O78" s="29">
        <f t="shared" si="1"/>
        <v>1992</v>
      </c>
    </row>
    <row r="79" spans="1:15" ht="15" customHeight="1" x14ac:dyDescent="0.3">
      <c r="A79" s="6" t="s">
        <v>107</v>
      </c>
      <c r="B79" s="6" t="s">
        <v>85</v>
      </c>
      <c r="C79" s="9">
        <v>720</v>
      </c>
      <c r="D79" s="9">
        <v>672</v>
      </c>
      <c r="E79" s="9">
        <v>734</v>
      </c>
      <c r="F79" s="9">
        <v>717</v>
      </c>
      <c r="G79" s="9">
        <v>720</v>
      </c>
      <c r="H79" s="9">
        <v>706</v>
      </c>
      <c r="I79" s="9">
        <v>698</v>
      </c>
      <c r="J79" s="9">
        <v>741</v>
      </c>
      <c r="K79" s="9">
        <v>716</v>
      </c>
      <c r="L79" s="9">
        <v>732</v>
      </c>
      <c r="M79" s="9">
        <v>720</v>
      </c>
      <c r="N79" s="9">
        <v>744</v>
      </c>
      <c r="O79" s="29">
        <f t="shared" si="1"/>
        <v>8620</v>
      </c>
    </row>
    <row r="80" spans="1:15" ht="15" customHeight="1" x14ac:dyDescent="0.3">
      <c r="A80" s="6" t="s">
        <v>108</v>
      </c>
      <c r="B80" s="6" t="s">
        <v>109</v>
      </c>
      <c r="C80" s="9">
        <v>744</v>
      </c>
      <c r="D80" s="9">
        <v>672</v>
      </c>
      <c r="E80" s="9">
        <v>744</v>
      </c>
      <c r="F80" s="9">
        <v>718</v>
      </c>
      <c r="G80" s="9">
        <v>742</v>
      </c>
      <c r="H80" s="9">
        <v>719</v>
      </c>
      <c r="I80" s="9">
        <v>744</v>
      </c>
      <c r="J80" s="9">
        <v>744</v>
      </c>
      <c r="K80" s="9">
        <v>720</v>
      </c>
      <c r="L80" s="9">
        <v>744</v>
      </c>
      <c r="M80" s="9">
        <v>720</v>
      </c>
      <c r="N80" s="9">
        <v>744</v>
      </c>
      <c r="O80" s="29">
        <f t="shared" si="1"/>
        <v>8755</v>
      </c>
    </row>
    <row r="81" spans="1:15" ht="15" customHeight="1" x14ac:dyDescent="0.3">
      <c r="A81" s="6" t="s">
        <v>111</v>
      </c>
      <c r="B81" s="6" t="s">
        <v>68</v>
      </c>
      <c r="C81" s="9">
        <v>744</v>
      </c>
      <c r="D81" s="9">
        <v>672</v>
      </c>
      <c r="E81" s="9">
        <v>744</v>
      </c>
      <c r="F81" s="9">
        <v>719</v>
      </c>
      <c r="G81" s="9">
        <v>742</v>
      </c>
      <c r="H81" s="9">
        <v>715</v>
      </c>
      <c r="I81" s="9">
        <v>742</v>
      </c>
      <c r="J81" s="9">
        <v>744</v>
      </c>
      <c r="K81" s="9">
        <v>720</v>
      </c>
      <c r="L81" s="9">
        <v>744</v>
      </c>
      <c r="M81" s="9">
        <v>720</v>
      </c>
      <c r="N81" s="9">
        <v>744</v>
      </c>
      <c r="O81" s="29">
        <f t="shared" si="1"/>
        <v>8750</v>
      </c>
    </row>
    <row r="82" spans="1:15" ht="15" customHeight="1" x14ac:dyDescent="0.3">
      <c r="A82" s="6" t="s">
        <v>459</v>
      </c>
      <c r="B82" s="6" t="s">
        <v>454</v>
      </c>
      <c r="C82" s="9"/>
      <c r="D82" s="9"/>
      <c r="E82" s="9"/>
      <c r="F82" s="9"/>
      <c r="G82" s="9"/>
      <c r="H82" s="9"/>
      <c r="I82" s="9"/>
      <c r="J82" s="9"/>
      <c r="K82" s="9">
        <v>444</v>
      </c>
      <c r="L82" s="9">
        <v>744</v>
      </c>
      <c r="M82" s="9">
        <v>720</v>
      </c>
      <c r="N82" s="9">
        <v>744</v>
      </c>
      <c r="O82" s="29">
        <f t="shared" si="1"/>
        <v>2652</v>
      </c>
    </row>
    <row r="83" spans="1:15" ht="15" customHeight="1" x14ac:dyDescent="0.3">
      <c r="A83" s="6" t="s">
        <v>112</v>
      </c>
      <c r="B83" s="6" t="s">
        <v>85</v>
      </c>
      <c r="C83" s="9">
        <v>719</v>
      </c>
      <c r="D83" s="9">
        <v>672</v>
      </c>
      <c r="E83" s="9">
        <v>734</v>
      </c>
      <c r="F83" s="9">
        <v>717</v>
      </c>
      <c r="G83" s="9">
        <v>744</v>
      </c>
      <c r="H83" s="9">
        <v>706</v>
      </c>
      <c r="I83" s="9">
        <v>702</v>
      </c>
      <c r="J83" s="9">
        <v>741</v>
      </c>
      <c r="K83" s="9">
        <v>720</v>
      </c>
      <c r="L83" s="9">
        <v>742</v>
      </c>
      <c r="M83" s="9">
        <v>720</v>
      </c>
      <c r="N83" s="9">
        <v>696</v>
      </c>
      <c r="O83" s="29">
        <f t="shared" si="1"/>
        <v>8613</v>
      </c>
    </row>
    <row r="84" spans="1:15" ht="15" customHeight="1" x14ac:dyDescent="0.3">
      <c r="A84" s="6" t="s">
        <v>113</v>
      </c>
      <c r="B84" s="6" t="s">
        <v>65</v>
      </c>
      <c r="C84" s="9">
        <v>744</v>
      </c>
      <c r="D84" s="9">
        <v>672</v>
      </c>
      <c r="E84" s="9">
        <v>744</v>
      </c>
      <c r="F84" s="9">
        <v>720</v>
      </c>
      <c r="G84" s="9">
        <v>744</v>
      </c>
      <c r="H84" s="9">
        <v>720</v>
      </c>
      <c r="I84" s="9">
        <v>744</v>
      </c>
      <c r="J84" s="9">
        <v>742</v>
      </c>
      <c r="K84" s="9">
        <v>720</v>
      </c>
      <c r="L84" s="9">
        <v>744</v>
      </c>
      <c r="M84" s="9">
        <v>616</v>
      </c>
      <c r="N84" s="9">
        <v>744</v>
      </c>
      <c r="O84" s="29">
        <f t="shared" si="1"/>
        <v>8654</v>
      </c>
    </row>
    <row r="85" spans="1:15" ht="15" customHeight="1" x14ac:dyDescent="0.3">
      <c r="A85" s="6" t="s">
        <v>114</v>
      </c>
      <c r="B85" s="6" t="s">
        <v>115</v>
      </c>
      <c r="C85" s="9">
        <v>715</v>
      </c>
      <c r="D85" s="9">
        <v>607</v>
      </c>
      <c r="E85" s="9">
        <v>720</v>
      </c>
      <c r="F85" s="9">
        <v>710</v>
      </c>
      <c r="G85" s="9">
        <v>723</v>
      </c>
      <c r="H85" s="9">
        <v>706</v>
      </c>
      <c r="I85" s="9">
        <v>648</v>
      </c>
      <c r="J85" s="9">
        <v>696</v>
      </c>
      <c r="K85" s="9">
        <v>720</v>
      </c>
      <c r="L85" s="9">
        <v>744</v>
      </c>
      <c r="M85" s="9">
        <v>720</v>
      </c>
      <c r="N85" s="9">
        <v>727</v>
      </c>
      <c r="O85" s="29">
        <f t="shared" si="1"/>
        <v>8436</v>
      </c>
    </row>
    <row r="86" spans="1:15" ht="15" customHeight="1" x14ac:dyDescent="0.3">
      <c r="A86" s="6" t="s">
        <v>117</v>
      </c>
      <c r="B86" s="6" t="s">
        <v>65</v>
      </c>
      <c r="C86" s="9">
        <v>732</v>
      </c>
      <c r="D86" s="9">
        <v>672</v>
      </c>
      <c r="E86" s="9">
        <v>744</v>
      </c>
      <c r="F86" s="9">
        <v>720</v>
      </c>
      <c r="G86" s="9">
        <v>744</v>
      </c>
      <c r="H86" s="9">
        <v>720</v>
      </c>
      <c r="I86" s="9">
        <v>744</v>
      </c>
      <c r="J86" s="9">
        <v>742</v>
      </c>
      <c r="K86" s="9">
        <v>720</v>
      </c>
      <c r="L86" s="9">
        <v>744</v>
      </c>
      <c r="M86" s="9">
        <v>720</v>
      </c>
      <c r="N86" s="9">
        <v>744</v>
      </c>
      <c r="O86" s="29">
        <f t="shared" si="1"/>
        <v>8746</v>
      </c>
    </row>
    <row r="87" spans="1:15" ht="15" customHeight="1" x14ac:dyDescent="0.3">
      <c r="A87" s="6" t="s">
        <v>460</v>
      </c>
      <c r="B87" s="6" t="s">
        <v>461</v>
      </c>
      <c r="C87" s="9"/>
      <c r="D87" s="9"/>
      <c r="E87" s="9"/>
      <c r="F87" s="9">
        <v>664</v>
      </c>
      <c r="G87" s="9">
        <v>734</v>
      </c>
      <c r="H87" s="9">
        <v>720</v>
      </c>
      <c r="I87" s="9">
        <v>744</v>
      </c>
      <c r="J87" s="9">
        <v>738</v>
      </c>
      <c r="K87" s="9">
        <v>696</v>
      </c>
      <c r="L87" s="9">
        <v>740</v>
      </c>
      <c r="M87" s="9">
        <v>696</v>
      </c>
      <c r="N87" s="9">
        <v>737</v>
      </c>
      <c r="O87" s="29">
        <f t="shared" si="1"/>
        <v>6469</v>
      </c>
    </row>
    <row r="88" spans="1:15" ht="15" customHeight="1" x14ac:dyDescent="0.3">
      <c r="A88" s="6" t="s">
        <v>118</v>
      </c>
      <c r="B88" s="6" t="s">
        <v>100</v>
      </c>
      <c r="C88" s="9">
        <v>744</v>
      </c>
      <c r="D88" s="9">
        <v>645</v>
      </c>
      <c r="E88" s="9">
        <v>729</v>
      </c>
      <c r="F88" s="9">
        <v>720</v>
      </c>
      <c r="G88" s="9">
        <v>744</v>
      </c>
      <c r="H88" s="9">
        <v>720</v>
      </c>
      <c r="I88" s="9">
        <v>710</v>
      </c>
      <c r="J88" s="9">
        <v>712</v>
      </c>
      <c r="K88" s="9">
        <v>720</v>
      </c>
      <c r="L88" s="9">
        <v>744</v>
      </c>
      <c r="M88" s="9">
        <v>714</v>
      </c>
      <c r="N88" s="9">
        <v>744</v>
      </c>
      <c r="O88" s="29">
        <f t="shared" si="1"/>
        <v>8646</v>
      </c>
    </row>
    <row r="89" spans="1:15" ht="15" customHeight="1" x14ac:dyDescent="0.3">
      <c r="A89" s="6" t="s">
        <v>119</v>
      </c>
      <c r="B89" s="6" t="s">
        <v>120</v>
      </c>
      <c r="C89" s="9">
        <v>744</v>
      </c>
      <c r="D89" s="9">
        <v>672</v>
      </c>
      <c r="E89" s="9">
        <v>744</v>
      </c>
      <c r="F89" s="9">
        <v>720</v>
      </c>
      <c r="G89" s="9">
        <v>744</v>
      </c>
      <c r="H89" s="9">
        <v>720</v>
      </c>
      <c r="I89" s="9">
        <v>744</v>
      </c>
      <c r="J89" s="9">
        <v>744</v>
      </c>
      <c r="K89" s="9">
        <v>720</v>
      </c>
      <c r="L89" s="9">
        <v>744</v>
      </c>
      <c r="M89" s="9">
        <v>712</v>
      </c>
      <c r="N89" s="9">
        <v>718</v>
      </c>
      <c r="O89" s="29">
        <f t="shared" si="1"/>
        <v>8726</v>
      </c>
    </row>
    <row r="90" spans="1:15" ht="15" customHeight="1" x14ac:dyDescent="0.3">
      <c r="A90" s="6" t="s">
        <v>122</v>
      </c>
      <c r="B90" s="6" t="s">
        <v>123</v>
      </c>
      <c r="C90" s="9">
        <v>738</v>
      </c>
      <c r="D90" s="9">
        <v>663</v>
      </c>
      <c r="E90" s="9">
        <v>744</v>
      </c>
      <c r="F90" s="9">
        <v>714</v>
      </c>
      <c r="G90" s="9">
        <v>744</v>
      </c>
      <c r="H90" s="9">
        <v>712</v>
      </c>
      <c r="I90" s="9">
        <v>744</v>
      </c>
      <c r="J90" s="9">
        <v>737</v>
      </c>
      <c r="K90" s="9">
        <v>720</v>
      </c>
      <c r="L90" s="9">
        <v>744</v>
      </c>
      <c r="M90" s="9">
        <v>694</v>
      </c>
      <c r="N90" s="9">
        <v>663</v>
      </c>
      <c r="O90" s="29">
        <f t="shared" si="1"/>
        <v>8617</v>
      </c>
    </row>
    <row r="91" spans="1:15" ht="15" customHeight="1" x14ac:dyDescent="0.3">
      <c r="A91" s="6" t="s">
        <v>396</v>
      </c>
      <c r="B91" s="6" t="s">
        <v>397</v>
      </c>
      <c r="C91" s="9">
        <v>625</v>
      </c>
      <c r="D91" s="9"/>
      <c r="E91" s="9"/>
      <c r="F91" s="9">
        <v>279</v>
      </c>
      <c r="G91" s="9">
        <v>605</v>
      </c>
      <c r="H91" s="9">
        <v>720</v>
      </c>
      <c r="I91" s="9">
        <v>744</v>
      </c>
      <c r="J91" s="9">
        <v>744</v>
      </c>
      <c r="K91" s="9">
        <v>720</v>
      </c>
      <c r="L91" s="9">
        <v>744</v>
      </c>
      <c r="M91" s="9">
        <v>720</v>
      </c>
      <c r="N91" s="9">
        <v>739</v>
      </c>
      <c r="O91" s="29">
        <f t="shared" si="1"/>
        <v>6640</v>
      </c>
    </row>
    <row r="92" spans="1:15" ht="15" customHeight="1" x14ac:dyDescent="0.3">
      <c r="A92" s="6" t="s">
        <v>125</v>
      </c>
      <c r="B92" s="6" t="s">
        <v>77</v>
      </c>
      <c r="C92" s="9">
        <v>744</v>
      </c>
      <c r="D92" s="9">
        <v>672</v>
      </c>
      <c r="E92" s="9">
        <v>608</v>
      </c>
      <c r="F92" s="9">
        <v>588</v>
      </c>
      <c r="G92" s="9">
        <v>677</v>
      </c>
      <c r="H92" s="9">
        <v>706</v>
      </c>
      <c r="I92" s="9">
        <v>742</v>
      </c>
      <c r="J92" s="9">
        <v>742</v>
      </c>
      <c r="K92" s="9">
        <v>642</v>
      </c>
      <c r="L92" s="9">
        <v>744</v>
      </c>
      <c r="M92" s="9">
        <v>720</v>
      </c>
      <c r="N92" s="9">
        <v>744</v>
      </c>
      <c r="O92" s="29">
        <f t="shared" si="1"/>
        <v>8329</v>
      </c>
    </row>
    <row r="93" spans="1:15" ht="15" customHeight="1" x14ac:dyDescent="0.3">
      <c r="A93" s="6" t="s">
        <v>126</v>
      </c>
      <c r="B93" s="6" t="s">
        <v>89</v>
      </c>
      <c r="C93" s="9">
        <v>744</v>
      </c>
      <c r="D93" s="9">
        <v>535</v>
      </c>
      <c r="E93" s="9">
        <v>694</v>
      </c>
      <c r="F93" s="9">
        <v>523</v>
      </c>
      <c r="G93" s="9">
        <v>578</v>
      </c>
      <c r="H93" s="9">
        <v>657</v>
      </c>
      <c r="I93" s="9">
        <v>715</v>
      </c>
      <c r="J93" s="9">
        <v>744</v>
      </c>
      <c r="K93" s="9">
        <v>720</v>
      </c>
      <c r="L93" s="9">
        <v>744</v>
      </c>
      <c r="M93" s="9">
        <v>720</v>
      </c>
      <c r="N93" s="9">
        <v>744</v>
      </c>
      <c r="O93" s="29">
        <f t="shared" si="1"/>
        <v>8118</v>
      </c>
    </row>
    <row r="94" spans="1:15" ht="15" customHeight="1" x14ac:dyDescent="0.3">
      <c r="A94" s="6" t="s">
        <v>127</v>
      </c>
      <c r="B94" s="6" t="s">
        <v>109</v>
      </c>
      <c r="C94" s="9">
        <v>744</v>
      </c>
      <c r="D94" s="9">
        <v>672</v>
      </c>
      <c r="E94" s="9">
        <v>744</v>
      </c>
      <c r="F94" s="9">
        <v>720</v>
      </c>
      <c r="G94" s="9">
        <v>744</v>
      </c>
      <c r="H94" s="9">
        <v>720</v>
      </c>
      <c r="I94" s="9">
        <v>744</v>
      </c>
      <c r="J94" s="9">
        <v>744</v>
      </c>
      <c r="K94" s="9">
        <v>720</v>
      </c>
      <c r="L94" s="9">
        <v>744</v>
      </c>
      <c r="M94" s="9">
        <v>720</v>
      </c>
      <c r="N94" s="9">
        <v>720</v>
      </c>
      <c r="O94" s="29">
        <f t="shared" si="1"/>
        <v>8736</v>
      </c>
    </row>
    <row r="95" spans="1:15" ht="15" customHeight="1" x14ac:dyDescent="0.3">
      <c r="A95" s="6" t="s">
        <v>370</v>
      </c>
      <c r="B95" s="6" t="s">
        <v>371</v>
      </c>
      <c r="C95" s="9"/>
      <c r="D95" s="9"/>
      <c r="E95" s="9">
        <v>312</v>
      </c>
      <c r="F95" s="9">
        <v>711</v>
      </c>
      <c r="G95" s="9">
        <v>743</v>
      </c>
      <c r="H95" s="9">
        <v>720</v>
      </c>
      <c r="I95" s="9">
        <v>744</v>
      </c>
      <c r="J95" s="9">
        <v>744</v>
      </c>
      <c r="K95" s="9">
        <v>710</v>
      </c>
      <c r="L95" s="9">
        <v>744</v>
      </c>
      <c r="M95" s="9">
        <v>720</v>
      </c>
      <c r="N95" s="9">
        <v>713</v>
      </c>
      <c r="O95" s="29">
        <f t="shared" si="1"/>
        <v>6861</v>
      </c>
    </row>
    <row r="96" spans="1:15" ht="15" customHeight="1" x14ac:dyDescent="0.3">
      <c r="A96" s="6" t="s">
        <v>128</v>
      </c>
      <c r="B96" s="6" t="s">
        <v>65</v>
      </c>
      <c r="C96" s="9">
        <v>744</v>
      </c>
      <c r="D96" s="9">
        <v>670</v>
      </c>
      <c r="E96" s="9">
        <v>744</v>
      </c>
      <c r="F96" s="9">
        <v>720</v>
      </c>
      <c r="G96" s="9">
        <v>744</v>
      </c>
      <c r="H96" s="9">
        <v>720</v>
      </c>
      <c r="I96" s="9">
        <v>744</v>
      </c>
      <c r="J96" s="9">
        <v>742</v>
      </c>
      <c r="K96" s="9">
        <v>720</v>
      </c>
      <c r="L96" s="9">
        <v>744</v>
      </c>
      <c r="M96" s="9">
        <v>720</v>
      </c>
      <c r="N96" s="9">
        <v>744</v>
      </c>
      <c r="O96" s="29">
        <f t="shared" si="1"/>
        <v>8756</v>
      </c>
    </row>
    <row r="97" spans="1:15" ht="15" customHeight="1" x14ac:dyDescent="0.3">
      <c r="A97" s="6" t="s">
        <v>463</v>
      </c>
      <c r="B97" s="6" t="s">
        <v>454</v>
      </c>
      <c r="C97" s="9"/>
      <c r="D97" s="9"/>
      <c r="E97" s="9"/>
      <c r="F97" s="9"/>
      <c r="G97" s="9"/>
      <c r="H97" s="9"/>
      <c r="I97" s="9"/>
      <c r="J97" s="9">
        <v>134</v>
      </c>
      <c r="K97" s="9">
        <v>712</v>
      </c>
      <c r="L97" s="9">
        <v>744</v>
      </c>
      <c r="M97" s="9">
        <v>720</v>
      </c>
      <c r="N97" s="9">
        <v>744</v>
      </c>
      <c r="O97" s="29">
        <f t="shared" si="1"/>
        <v>3054</v>
      </c>
    </row>
    <row r="98" spans="1:15" ht="15" customHeight="1" x14ac:dyDescent="0.3">
      <c r="A98" s="6" t="s">
        <v>464</v>
      </c>
      <c r="B98" s="6" t="s">
        <v>454</v>
      </c>
      <c r="C98" s="9"/>
      <c r="D98" s="9"/>
      <c r="E98" s="9"/>
      <c r="F98" s="9"/>
      <c r="G98" s="9"/>
      <c r="H98" s="9"/>
      <c r="I98" s="9"/>
      <c r="J98" s="9">
        <v>144</v>
      </c>
      <c r="K98" s="9">
        <v>705</v>
      </c>
      <c r="L98" s="9">
        <v>737</v>
      </c>
      <c r="M98" s="9">
        <v>720</v>
      </c>
      <c r="N98" s="9">
        <v>744</v>
      </c>
      <c r="O98" s="29">
        <f t="shared" si="1"/>
        <v>3050</v>
      </c>
    </row>
    <row r="99" spans="1:15" ht="15" customHeight="1" x14ac:dyDescent="0.3">
      <c r="A99" s="6" t="s">
        <v>465</v>
      </c>
      <c r="B99" s="6" t="s">
        <v>62</v>
      </c>
      <c r="C99" s="9"/>
      <c r="D99" s="9"/>
      <c r="E99" s="9"/>
      <c r="F99" s="9"/>
      <c r="G99" s="9"/>
      <c r="H99" s="9"/>
      <c r="I99" s="9"/>
      <c r="J99" s="9"/>
      <c r="K99" s="9"/>
      <c r="L99" s="9">
        <v>304</v>
      </c>
      <c r="M99" s="9">
        <v>720</v>
      </c>
      <c r="N99" s="9">
        <v>744</v>
      </c>
      <c r="O99" s="29">
        <f t="shared" si="1"/>
        <v>1768</v>
      </c>
    </row>
    <row r="100" spans="1:15" ht="15" customHeight="1" x14ac:dyDescent="0.3">
      <c r="A100" s="6" t="s">
        <v>129</v>
      </c>
      <c r="B100" s="6" t="s">
        <v>59</v>
      </c>
      <c r="C100" s="9">
        <v>740</v>
      </c>
      <c r="D100" s="9">
        <v>672</v>
      </c>
      <c r="E100" s="9">
        <v>493</v>
      </c>
      <c r="F100" s="9">
        <v>720</v>
      </c>
      <c r="G100" s="9">
        <v>744</v>
      </c>
      <c r="H100" s="9">
        <v>720</v>
      </c>
      <c r="I100" s="9">
        <v>744</v>
      </c>
      <c r="J100" s="9">
        <v>736</v>
      </c>
      <c r="K100" s="9">
        <v>720</v>
      </c>
      <c r="L100" s="9">
        <v>744</v>
      </c>
      <c r="M100" s="9">
        <v>720</v>
      </c>
      <c r="N100" s="9">
        <v>744</v>
      </c>
      <c r="O100" s="29">
        <f t="shared" si="1"/>
        <v>8497</v>
      </c>
    </row>
    <row r="101" spans="1:15" ht="15" customHeight="1" x14ac:dyDescent="0.3">
      <c r="A101" s="6" t="s">
        <v>130</v>
      </c>
      <c r="B101" s="6" t="s">
        <v>85</v>
      </c>
      <c r="C101" s="9">
        <v>456</v>
      </c>
      <c r="D101" s="9">
        <v>672</v>
      </c>
      <c r="E101" s="9">
        <v>734</v>
      </c>
      <c r="F101" s="9">
        <v>693</v>
      </c>
      <c r="G101" s="9">
        <v>734</v>
      </c>
      <c r="H101" s="9">
        <v>706</v>
      </c>
      <c r="I101" s="9">
        <v>728</v>
      </c>
      <c r="J101" s="9">
        <v>697</v>
      </c>
      <c r="K101" s="9">
        <v>695</v>
      </c>
      <c r="L101" s="9">
        <v>718</v>
      </c>
      <c r="M101" s="9">
        <v>720</v>
      </c>
      <c r="N101" s="9">
        <v>712</v>
      </c>
      <c r="O101" s="29">
        <f t="shared" si="1"/>
        <v>8265</v>
      </c>
    </row>
    <row r="102" spans="1:15" ht="15" customHeight="1" x14ac:dyDescent="0.3">
      <c r="A102" s="6" t="s">
        <v>466</v>
      </c>
      <c r="B102" s="6" t="s">
        <v>62</v>
      </c>
      <c r="C102" s="9"/>
      <c r="D102" s="9"/>
      <c r="E102" s="9"/>
      <c r="F102" s="9"/>
      <c r="G102" s="9"/>
      <c r="H102" s="9"/>
      <c r="I102" s="9"/>
      <c r="J102" s="9"/>
      <c r="K102" s="9"/>
      <c r="L102" s="9">
        <v>528</v>
      </c>
      <c r="M102" s="9">
        <v>720</v>
      </c>
      <c r="N102" s="9">
        <v>744</v>
      </c>
      <c r="O102" s="29">
        <f t="shared" si="1"/>
        <v>1992</v>
      </c>
    </row>
    <row r="103" spans="1:15" ht="15" customHeight="1" x14ac:dyDescent="0.3">
      <c r="A103" s="6" t="s">
        <v>131</v>
      </c>
      <c r="B103" s="6" t="s">
        <v>132</v>
      </c>
      <c r="C103" s="9">
        <v>744</v>
      </c>
      <c r="D103" s="9">
        <v>669</v>
      </c>
      <c r="E103" s="9">
        <v>744</v>
      </c>
      <c r="F103" s="9">
        <v>699</v>
      </c>
      <c r="G103" s="9">
        <v>736</v>
      </c>
      <c r="H103" s="9">
        <v>713</v>
      </c>
      <c r="I103" s="9">
        <v>725</v>
      </c>
      <c r="J103" s="9">
        <v>718</v>
      </c>
      <c r="K103" s="9">
        <v>709</v>
      </c>
      <c r="L103" s="9">
        <v>744</v>
      </c>
      <c r="M103" s="9">
        <v>720</v>
      </c>
      <c r="N103" s="9">
        <v>744</v>
      </c>
      <c r="O103" s="29">
        <f t="shared" si="1"/>
        <v>8665</v>
      </c>
    </row>
    <row r="104" spans="1:15" ht="15" customHeight="1" x14ac:dyDescent="0.3">
      <c r="A104" s="6" t="s">
        <v>134</v>
      </c>
      <c r="B104" s="6" t="s">
        <v>135</v>
      </c>
      <c r="C104" s="9">
        <v>744</v>
      </c>
      <c r="D104" s="9">
        <v>663</v>
      </c>
      <c r="E104" s="9">
        <v>738</v>
      </c>
      <c r="F104" s="9">
        <v>704</v>
      </c>
      <c r="G104" s="9">
        <v>728</v>
      </c>
      <c r="H104" s="9">
        <v>711</v>
      </c>
      <c r="I104" s="9">
        <v>742</v>
      </c>
      <c r="J104" s="9">
        <v>743</v>
      </c>
      <c r="K104" s="9">
        <v>720</v>
      </c>
      <c r="L104" s="9">
        <v>744</v>
      </c>
      <c r="M104" s="9">
        <v>708</v>
      </c>
      <c r="N104" s="9">
        <v>744</v>
      </c>
      <c r="O104" s="29">
        <f t="shared" si="1"/>
        <v>8689</v>
      </c>
    </row>
    <row r="105" spans="1:15" ht="15" customHeight="1" x14ac:dyDescent="0.3">
      <c r="A105" s="6" t="s">
        <v>137</v>
      </c>
      <c r="B105" s="6" t="s">
        <v>138</v>
      </c>
      <c r="C105" s="9">
        <v>744</v>
      </c>
      <c r="D105" s="9">
        <v>662</v>
      </c>
      <c r="E105" s="9">
        <v>744</v>
      </c>
      <c r="F105" s="9">
        <v>720</v>
      </c>
      <c r="G105" s="9">
        <v>744</v>
      </c>
      <c r="H105" s="9">
        <v>720</v>
      </c>
      <c r="I105" s="9">
        <v>744</v>
      </c>
      <c r="J105" s="9">
        <v>744</v>
      </c>
      <c r="K105" s="9">
        <v>715</v>
      </c>
      <c r="L105" s="9">
        <v>744</v>
      </c>
      <c r="M105" s="9">
        <v>720</v>
      </c>
      <c r="N105" s="9">
        <v>744</v>
      </c>
      <c r="O105" s="29">
        <f t="shared" si="1"/>
        <v>8745</v>
      </c>
    </row>
    <row r="106" spans="1:15" ht="15" customHeight="1" x14ac:dyDescent="0.3">
      <c r="A106" s="6" t="s">
        <v>140</v>
      </c>
      <c r="B106" s="6" t="s">
        <v>109</v>
      </c>
      <c r="C106" s="9">
        <v>744</v>
      </c>
      <c r="D106" s="9">
        <v>672</v>
      </c>
      <c r="E106" s="9">
        <v>744</v>
      </c>
      <c r="F106" s="9">
        <v>720</v>
      </c>
      <c r="G106" s="9">
        <v>744</v>
      </c>
      <c r="H106" s="9">
        <v>720</v>
      </c>
      <c r="I106" s="9">
        <v>744</v>
      </c>
      <c r="J106" s="9">
        <v>744</v>
      </c>
      <c r="K106" s="9">
        <v>720</v>
      </c>
      <c r="L106" s="9">
        <v>744</v>
      </c>
      <c r="M106" s="9">
        <v>720</v>
      </c>
      <c r="N106" s="9">
        <v>744</v>
      </c>
      <c r="O106" s="29">
        <f t="shared" si="1"/>
        <v>8760</v>
      </c>
    </row>
    <row r="107" spans="1:15" ht="15" customHeight="1" x14ac:dyDescent="0.3">
      <c r="A107" s="6" t="s">
        <v>141</v>
      </c>
      <c r="B107" s="6" t="s">
        <v>115</v>
      </c>
      <c r="C107" s="9">
        <v>713</v>
      </c>
      <c r="D107" s="9">
        <v>620</v>
      </c>
      <c r="E107" s="9">
        <v>737</v>
      </c>
      <c r="F107" s="9">
        <v>712</v>
      </c>
      <c r="G107" s="9">
        <v>736</v>
      </c>
      <c r="H107" s="9">
        <v>706</v>
      </c>
      <c r="I107" s="9">
        <v>744</v>
      </c>
      <c r="J107" s="9">
        <v>744</v>
      </c>
      <c r="K107" s="9">
        <v>720</v>
      </c>
      <c r="L107" s="9">
        <v>744</v>
      </c>
      <c r="M107" s="9">
        <v>720</v>
      </c>
      <c r="N107" s="9">
        <v>727</v>
      </c>
      <c r="O107" s="29">
        <f t="shared" si="1"/>
        <v>8623</v>
      </c>
    </row>
    <row r="108" spans="1:15" ht="15" customHeight="1" x14ac:dyDescent="0.3">
      <c r="A108" s="6" t="s">
        <v>142</v>
      </c>
      <c r="B108" s="6" t="s">
        <v>68</v>
      </c>
      <c r="C108" s="9">
        <v>744</v>
      </c>
      <c r="D108" s="9">
        <v>672</v>
      </c>
      <c r="E108" s="9">
        <v>744</v>
      </c>
      <c r="F108" s="9">
        <v>720</v>
      </c>
      <c r="G108" s="9">
        <v>744</v>
      </c>
      <c r="H108" s="9">
        <v>689</v>
      </c>
      <c r="I108" s="9">
        <v>744</v>
      </c>
      <c r="J108" s="9">
        <v>744</v>
      </c>
      <c r="K108" s="9">
        <v>720</v>
      </c>
      <c r="L108" s="9">
        <v>744</v>
      </c>
      <c r="M108" s="9">
        <v>700</v>
      </c>
      <c r="N108" s="9">
        <v>744</v>
      </c>
      <c r="O108" s="29">
        <f t="shared" si="1"/>
        <v>8709</v>
      </c>
    </row>
    <row r="109" spans="1:15" ht="15" customHeight="1" x14ac:dyDescent="0.3">
      <c r="A109" s="6" t="s">
        <v>143</v>
      </c>
      <c r="B109" s="6" t="s">
        <v>120</v>
      </c>
      <c r="C109" s="9">
        <v>744</v>
      </c>
      <c r="D109" s="9">
        <v>672</v>
      </c>
      <c r="E109" s="9">
        <v>744</v>
      </c>
      <c r="F109" s="9">
        <v>714</v>
      </c>
      <c r="G109" s="9">
        <v>744</v>
      </c>
      <c r="H109" s="9">
        <v>720</v>
      </c>
      <c r="I109" s="9">
        <v>744</v>
      </c>
      <c r="J109" s="9">
        <v>744</v>
      </c>
      <c r="K109" s="9">
        <v>522</v>
      </c>
      <c r="L109" s="9">
        <v>676</v>
      </c>
      <c r="M109" s="9">
        <v>720</v>
      </c>
      <c r="N109" s="9">
        <v>724</v>
      </c>
      <c r="O109" s="29">
        <f t="shared" si="1"/>
        <v>8468</v>
      </c>
    </row>
    <row r="110" spans="1:15" ht="15" customHeight="1" x14ac:dyDescent="0.3">
      <c r="A110" s="6" t="s">
        <v>144</v>
      </c>
      <c r="B110" s="6" t="s">
        <v>55</v>
      </c>
      <c r="C110" s="9">
        <v>529</v>
      </c>
      <c r="D110" s="9">
        <v>644</v>
      </c>
      <c r="E110" s="9">
        <v>572</v>
      </c>
      <c r="F110" s="9">
        <v>716</v>
      </c>
      <c r="G110" s="9">
        <v>576</v>
      </c>
      <c r="H110" s="9">
        <v>716</v>
      </c>
      <c r="I110" s="9">
        <v>739</v>
      </c>
      <c r="J110" s="9">
        <v>744</v>
      </c>
      <c r="K110" s="9">
        <v>692</v>
      </c>
      <c r="L110" s="9">
        <v>744</v>
      </c>
      <c r="M110" s="9">
        <v>720</v>
      </c>
      <c r="N110" s="9">
        <v>744</v>
      </c>
      <c r="O110" s="29">
        <f t="shared" si="1"/>
        <v>8136</v>
      </c>
    </row>
    <row r="111" spans="1:15" ht="15" customHeight="1" x14ac:dyDescent="0.3">
      <c r="A111" s="6" t="s">
        <v>145</v>
      </c>
      <c r="B111" s="6" t="s">
        <v>146</v>
      </c>
      <c r="C111" s="9">
        <v>744</v>
      </c>
      <c r="D111" s="9">
        <v>672</v>
      </c>
      <c r="E111" s="9">
        <v>739</v>
      </c>
      <c r="F111" s="9">
        <v>707</v>
      </c>
      <c r="G111" s="9">
        <v>743</v>
      </c>
      <c r="H111" s="9">
        <v>720</v>
      </c>
      <c r="I111" s="9">
        <v>744</v>
      </c>
      <c r="J111" s="9">
        <v>744</v>
      </c>
      <c r="K111" s="9">
        <v>720</v>
      </c>
      <c r="L111" s="9">
        <v>744</v>
      </c>
      <c r="M111" s="9">
        <v>720</v>
      </c>
      <c r="N111" s="9">
        <v>744</v>
      </c>
      <c r="O111" s="29">
        <f t="shared" si="1"/>
        <v>8741</v>
      </c>
    </row>
    <row r="112" spans="1:15" ht="15" customHeight="1" x14ac:dyDescent="0.3">
      <c r="A112" s="6" t="s">
        <v>148</v>
      </c>
      <c r="B112" s="6" t="s">
        <v>85</v>
      </c>
      <c r="C112" s="9">
        <v>744</v>
      </c>
      <c r="D112" s="9">
        <v>672</v>
      </c>
      <c r="E112" s="9">
        <v>734</v>
      </c>
      <c r="F112" s="9">
        <v>717</v>
      </c>
      <c r="G112" s="9">
        <v>744</v>
      </c>
      <c r="H112" s="9">
        <v>706</v>
      </c>
      <c r="I112" s="9">
        <v>720</v>
      </c>
      <c r="J112" s="9">
        <v>741</v>
      </c>
      <c r="K112" s="9">
        <v>720</v>
      </c>
      <c r="L112" s="9">
        <v>742</v>
      </c>
      <c r="M112" s="9">
        <v>720</v>
      </c>
      <c r="N112" s="9">
        <v>743</v>
      </c>
      <c r="O112" s="29">
        <f t="shared" si="1"/>
        <v>8703</v>
      </c>
    </row>
    <row r="113" spans="1:15" ht="15" customHeight="1" x14ac:dyDescent="0.3">
      <c r="A113" s="6" t="s">
        <v>401</v>
      </c>
      <c r="B113" s="6" t="s">
        <v>362</v>
      </c>
      <c r="C113" s="9"/>
      <c r="D113" s="9"/>
      <c r="E113" s="9"/>
      <c r="F113" s="9">
        <v>280</v>
      </c>
      <c r="G113" s="9">
        <v>680</v>
      </c>
      <c r="H113" s="9">
        <v>696</v>
      </c>
      <c r="I113" s="9">
        <v>312</v>
      </c>
      <c r="J113" s="9"/>
      <c r="K113" s="9"/>
      <c r="L113" s="9">
        <v>692</v>
      </c>
      <c r="M113" s="9">
        <v>720</v>
      </c>
      <c r="N113" s="9">
        <v>744</v>
      </c>
      <c r="O113" s="29">
        <f t="shared" si="1"/>
        <v>4124</v>
      </c>
    </row>
    <row r="114" spans="1:15" ht="15" customHeight="1" x14ac:dyDescent="0.3">
      <c r="A114" s="6" t="s">
        <v>149</v>
      </c>
      <c r="B114" s="6" t="s">
        <v>150</v>
      </c>
      <c r="C114" s="9">
        <v>722</v>
      </c>
      <c r="D114" s="9">
        <v>504</v>
      </c>
      <c r="E114" s="9">
        <v>744</v>
      </c>
      <c r="F114" s="9">
        <v>718</v>
      </c>
      <c r="G114" s="9">
        <v>744</v>
      </c>
      <c r="H114" s="9">
        <v>688</v>
      </c>
      <c r="I114" s="9">
        <v>744</v>
      </c>
      <c r="J114" s="9">
        <v>744</v>
      </c>
      <c r="K114" s="9">
        <v>701</v>
      </c>
      <c r="L114" s="9">
        <v>728</v>
      </c>
      <c r="M114" s="9">
        <v>720</v>
      </c>
      <c r="N114" s="9">
        <v>735</v>
      </c>
      <c r="O114" s="29">
        <f t="shared" si="1"/>
        <v>8492</v>
      </c>
    </row>
    <row r="115" spans="1:15" ht="15" customHeight="1" x14ac:dyDescent="0.3">
      <c r="A115" s="6" t="s">
        <v>152</v>
      </c>
      <c r="B115" s="6" t="s">
        <v>153</v>
      </c>
      <c r="C115" s="9">
        <v>657</v>
      </c>
      <c r="D115" s="9">
        <v>635</v>
      </c>
      <c r="E115" s="9">
        <v>744</v>
      </c>
      <c r="F115" s="9">
        <v>688</v>
      </c>
      <c r="G115" s="9">
        <v>549</v>
      </c>
      <c r="H115" s="9">
        <v>625</v>
      </c>
      <c r="I115" s="9">
        <v>721</v>
      </c>
      <c r="J115" s="9">
        <v>602</v>
      </c>
      <c r="K115" s="9">
        <v>662</v>
      </c>
      <c r="L115" s="9">
        <v>744</v>
      </c>
      <c r="M115" s="9">
        <v>719</v>
      </c>
      <c r="N115" s="9">
        <v>534</v>
      </c>
      <c r="O115" s="29">
        <f t="shared" si="1"/>
        <v>7880</v>
      </c>
    </row>
    <row r="116" spans="1:15" ht="15" customHeight="1" x14ac:dyDescent="0.3">
      <c r="A116" s="6" t="s">
        <v>155</v>
      </c>
      <c r="B116" s="6" t="s">
        <v>156</v>
      </c>
      <c r="C116" s="9">
        <v>744</v>
      </c>
      <c r="D116" s="9">
        <v>672</v>
      </c>
      <c r="E116" s="9">
        <v>744</v>
      </c>
      <c r="F116" s="9">
        <v>720</v>
      </c>
      <c r="G116" s="9">
        <v>744</v>
      </c>
      <c r="H116" s="9">
        <v>720</v>
      </c>
      <c r="I116" s="9">
        <v>744</v>
      </c>
      <c r="J116" s="9">
        <v>744</v>
      </c>
      <c r="K116" s="9">
        <v>720</v>
      </c>
      <c r="L116" s="9">
        <v>744</v>
      </c>
      <c r="M116" s="9">
        <v>720</v>
      </c>
      <c r="N116" s="9">
        <v>744</v>
      </c>
      <c r="O116" s="29">
        <f t="shared" si="1"/>
        <v>8760</v>
      </c>
    </row>
    <row r="117" spans="1:15" ht="15" customHeight="1" x14ac:dyDescent="0.3">
      <c r="A117" s="6" t="s">
        <v>158</v>
      </c>
      <c r="B117" s="6" t="s">
        <v>159</v>
      </c>
      <c r="C117" s="9">
        <v>683</v>
      </c>
      <c r="D117" s="9">
        <v>637</v>
      </c>
      <c r="E117" s="9">
        <v>731</v>
      </c>
      <c r="F117" s="9">
        <v>704</v>
      </c>
      <c r="G117" s="9">
        <v>736</v>
      </c>
      <c r="H117" s="9">
        <v>711</v>
      </c>
      <c r="I117" s="9">
        <v>744</v>
      </c>
      <c r="J117" s="9">
        <v>710</v>
      </c>
      <c r="K117" s="9">
        <v>708</v>
      </c>
      <c r="L117" s="9">
        <v>744</v>
      </c>
      <c r="M117" s="9">
        <v>720</v>
      </c>
      <c r="N117" s="9">
        <v>744</v>
      </c>
      <c r="O117" s="29">
        <f t="shared" si="1"/>
        <v>8572</v>
      </c>
    </row>
    <row r="118" spans="1:15" ht="15" customHeight="1" x14ac:dyDescent="0.3">
      <c r="A118" s="6" t="s">
        <v>404</v>
      </c>
      <c r="B118" s="6" t="s">
        <v>392</v>
      </c>
      <c r="C118" s="9">
        <v>744</v>
      </c>
      <c r="D118" s="9">
        <v>672</v>
      </c>
      <c r="E118" s="9">
        <v>744</v>
      </c>
      <c r="F118" s="9">
        <v>720</v>
      </c>
      <c r="G118" s="9">
        <v>744</v>
      </c>
      <c r="H118" s="9">
        <v>720</v>
      </c>
      <c r="I118" s="9">
        <v>48</v>
      </c>
      <c r="J118" s="9">
        <v>644</v>
      </c>
      <c r="K118" s="9">
        <v>718</v>
      </c>
      <c r="L118" s="9">
        <v>744</v>
      </c>
      <c r="M118" s="9">
        <v>720</v>
      </c>
      <c r="N118" s="9">
        <v>744</v>
      </c>
      <c r="O118" s="29">
        <f t="shared" si="1"/>
        <v>7962</v>
      </c>
    </row>
    <row r="119" spans="1:15" ht="15" customHeight="1" x14ac:dyDescent="0.3">
      <c r="A119" s="6" t="s">
        <v>161</v>
      </c>
      <c r="B119" s="6" t="s">
        <v>120</v>
      </c>
      <c r="C119" s="9">
        <v>738</v>
      </c>
      <c r="D119" s="9">
        <v>672</v>
      </c>
      <c r="E119" s="9">
        <v>708</v>
      </c>
      <c r="F119" s="9">
        <v>714</v>
      </c>
      <c r="G119" s="9">
        <v>744</v>
      </c>
      <c r="H119" s="9">
        <v>714</v>
      </c>
      <c r="I119" s="9">
        <v>744</v>
      </c>
      <c r="J119" s="9">
        <v>744</v>
      </c>
      <c r="K119" s="9">
        <v>720</v>
      </c>
      <c r="L119" s="9">
        <v>714</v>
      </c>
      <c r="M119" s="9">
        <v>720</v>
      </c>
      <c r="N119" s="9">
        <v>732</v>
      </c>
      <c r="O119" s="29">
        <f t="shared" si="1"/>
        <v>8664</v>
      </c>
    </row>
    <row r="120" spans="1:15" ht="15" customHeight="1" x14ac:dyDescent="0.3">
      <c r="A120" s="6" t="s">
        <v>162</v>
      </c>
      <c r="B120" s="6" t="s">
        <v>163</v>
      </c>
      <c r="C120" s="9">
        <v>693</v>
      </c>
      <c r="D120" s="9">
        <v>640</v>
      </c>
      <c r="E120" s="9">
        <v>739</v>
      </c>
      <c r="F120" s="9">
        <v>720</v>
      </c>
      <c r="G120" s="9">
        <v>744</v>
      </c>
      <c r="H120" s="9">
        <v>720</v>
      </c>
      <c r="I120" s="9">
        <v>744</v>
      </c>
      <c r="J120" s="9">
        <v>744</v>
      </c>
      <c r="K120" s="9">
        <v>720</v>
      </c>
      <c r="L120" s="9">
        <v>744</v>
      </c>
      <c r="M120" s="9">
        <v>720</v>
      </c>
      <c r="N120" s="9">
        <v>744</v>
      </c>
      <c r="O120" s="29">
        <f t="shared" si="1"/>
        <v>8672</v>
      </c>
    </row>
    <row r="121" spans="1:15" ht="15" customHeight="1" x14ac:dyDescent="0.3">
      <c r="A121" s="6" t="s">
        <v>165</v>
      </c>
      <c r="B121" s="6" t="s">
        <v>89</v>
      </c>
      <c r="C121" s="9">
        <v>744</v>
      </c>
      <c r="D121" s="9">
        <v>603</v>
      </c>
      <c r="E121" s="9">
        <v>667</v>
      </c>
      <c r="F121" s="9">
        <v>510</v>
      </c>
      <c r="G121" s="9">
        <v>524</v>
      </c>
      <c r="H121" s="9">
        <v>634</v>
      </c>
      <c r="I121" s="9">
        <v>696</v>
      </c>
      <c r="J121" s="9">
        <v>648</v>
      </c>
      <c r="K121" s="9">
        <v>648</v>
      </c>
      <c r="L121" s="9">
        <v>744</v>
      </c>
      <c r="M121" s="9">
        <v>720</v>
      </c>
      <c r="N121" s="9">
        <v>729</v>
      </c>
      <c r="O121" s="29">
        <f t="shared" si="1"/>
        <v>7867</v>
      </c>
    </row>
    <row r="122" spans="1:15" ht="15" customHeight="1" x14ac:dyDescent="0.3">
      <c r="A122" s="6" t="s">
        <v>166</v>
      </c>
      <c r="B122" s="6" t="s">
        <v>153</v>
      </c>
      <c r="C122" s="9">
        <v>657</v>
      </c>
      <c r="D122" s="9">
        <v>638</v>
      </c>
      <c r="E122" s="9">
        <v>744</v>
      </c>
      <c r="F122" s="9">
        <v>704</v>
      </c>
      <c r="G122" s="9">
        <v>647</v>
      </c>
      <c r="H122" s="9">
        <v>360</v>
      </c>
      <c r="I122" s="9">
        <v>529</v>
      </c>
      <c r="J122" s="9">
        <v>602</v>
      </c>
      <c r="K122" s="9">
        <v>679</v>
      </c>
      <c r="L122" s="9">
        <v>744</v>
      </c>
      <c r="M122" s="9">
        <v>719</v>
      </c>
      <c r="N122" s="9">
        <v>502</v>
      </c>
      <c r="O122" s="29">
        <f t="shared" si="1"/>
        <v>7525</v>
      </c>
    </row>
    <row r="123" spans="1:15" ht="15" customHeight="1" x14ac:dyDescent="0.3">
      <c r="A123" s="6" t="s">
        <v>373</v>
      </c>
      <c r="B123" s="6" t="s">
        <v>371</v>
      </c>
      <c r="C123" s="9"/>
      <c r="D123" s="9"/>
      <c r="E123" s="9">
        <v>312</v>
      </c>
      <c r="F123" s="9">
        <v>713</v>
      </c>
      <c r="G123" s="9">
        <v>742</v>
      </c>
      <c r="H123" s="9">
        <v>720</v>
      </c>
      <c r="I123" s="9">
        <v>744</v>
      </c>
      <c r="J123" s="9">
        <v>744</v>
      </c>
      <c r="K123" s="9">
        <v>710</v>
      </c>
      <c r="L123" s="9">
        <v>744</v>
      </c>
      <c r="M123" s="9">
        <v>720</v>
      </c>
      <c r="N123" s="9">
        <v>731</v>
      </c>
      <c r="O123" s="29">
        <f t="shared" si="1"/>
        <v>6880</v>
      </c>
    </row>
    <row r="124" spans="1:15" ht="15" customHeight="1" x14ac:dyDescent="0.3">
      <c r="A124" s="6" t="s">
        <v>405</v>
      </c>
      <c r="B124" s="6" t="s">
        <v>406</v>
      </c>
      <c r="C124" s="9"/>
      <c r="D124" s="9">
        <v>623</v>
      </c>
      <c r="E124" s="9">
        <v>533</v>
      </c>
      <c r="F124" s="9"/>
      <c r="G124" s="9"/>
      <c r="H124" s="9"/>
      <c r="I124" s="9"/>
      <c r="J124" s="9"/>
      <c r="K124" s="9"/>
      <c r="L124" s="9"/>
      <c r="M124" s="9">
        <v>288</v>
      </c>
      <c r="N124" s="9">
        <v>743</v>
      </c>
      <c r="O124" s="29">
        <f t="shared" si="1"/>
        <v>2187</v>
      </c>
    </row>
    <row r="125" spans="1:15" ht="15" customHeight="1" x14ac:dyDescent="0.3">
      <c r="A125" s="6" t="s">
        <v>167</v>
      </c>
      <c r="B125" s="6" t="s">
        <v>89</v>
      </c>
      <c r="C125" s="9">
        <v>744</v>
      </c>
      <c r="D125" s="9">
        <v>671</v>
      </c>
      <c r="E125" s="9">
        <v>744</v>
      </c>
      <c r="F125" s="9">
        <v>712</v>
      </c>
      <c r="G125" s="9">
        <v>743</v>
      </c>
      <c r="H125" s="9">
        <v>715</v>
      </c>
      <c r="I125" s="9">
        <v>738</v>
      </c>
      <c r="J125" s="9">
        <v>744</v>
      </c>
      <c r="K125" s="9">
        <v>720</v>
      </c>
      <c r="L125" s="9">
        <v>736</v>
      </c>
      <c r="M125" s="9">
        <v>720</v>
      </c>
      <c r="N125" s="9">
        <v>744</v>
      </c>
      <c r="O125" s="29">
        <f t="shared" si="1"/>
        <v>8731</v>
      </c>
    </row>
    <row r="126" spans="1:15" ht="15" customHeight="1" x14ac:dyDescent="0.3">
      <c r="A126" s="6" t="s">
        <v>168</v>
      </c>
      <c r="B126" s="6" t="s">
        <v>169</v>
      </c>
      <c r="C126" s="9">
        <v>742</v>
      </c>
      <c r="D126" s="9">
        <v>631</v>
      </c>
      <c r="E126" s="9">
        <v>744</v>
      </c>
      <c r="F126" s="9">
        <v>720</v>
      </c>
      <c r="G126" s="9">
        <v>744</v>
      </c>
      <c r="H126" s="9">
        <v>720</v>
      </c>
      <c r="I126" s="9">
        <v>744</v>
      </c>
      <c r="J126" s="9">
        <v>360</v>
      </c>
      <c r="K126" s="9">
        <v>720</v>
      </c>
      <c r="L126" s="9">
        <v>742</v>
      </c>
      <c r="M126" s="9">
        <v>720</v>
      </c>
      <c r="N126" s="9">
        <v>744</v>
      </c>
      <c r="O126" s="29">
        <f t="shared" si="1"/>
        <v>8331</v>
      </c>
    </row>
    <row r="127" spans="1:15" ht="15" customHeight="1" x14ac:dyDescent="0.3">
      <c r="A127" s="6" t="s">
        <v>171</v>
      </c>
      <c r="B127" s="6" t="s">
        <v>89</v>
      </c>
      <c r="C127" s="9">
        <v>734</v>
      </c>
      <c r="D127" s="9">
        <v>649</v>
      </c>
      <c r="E127" s="9">
        <v>578</v>
      </c>
      <c r="F127" s="9">
        <v>455</v>
      </c>
      <c r="G127" s="9">
        <v>490</v>
      </c>
      <c r="H127" s="9">
        <v>613</v>
      </c>
      <c r="I127" s="9">
        <v>700</v>
      </c>
      <c r="J127" s="9">
        <v>744</v>
      </c>
      <c r="K127" s="9">
        <v>720</v>
      </c>
      <c r="L127" s="9">
        <v>744</v>
      </c>
      <c r="M127" s="9">
        <v>720</v>
      </c>
      <c r="N127" s="9">
        <v>744</v>
      </c>
      <c r="O127" s="29">
        <f t="shared" si="1"/>
        <v>7891</v>
      </c>
    </row>
    <row r="128" spans="1:15" ht="15" customHeight="1" x14ac:dyDescent="0.3">
      <c r="A128" s="6" t="s">
        <v>172</v>
      </c>
      <c r="B128" s="6" t="s">
        <v>173</v>
      </c>
      <c r="C128" s="9">
        <v>742</v>
      </c>
      <c r="D128" s="9">
        <v>595</v>
      </c>
      <c r="E128" s="9">
        <v>744</v>
      </c>
      <c r="F128" s="9">
        <v>720</v>
      </c>
      <c r="G128" s="9">
        <v>744</v>
      </c>
      <c r="H128" s="9">
        <v>718</v>
      </c>
      <c r="I128" s="9">
        <v>740</v>
      </c>
      <c r="J128" s="9">
        <v>744</v>
      </c>
      <c r="K128" s="9">
        <v>629</v>
      </c>
      <c r="L128" s="9">
        <v>744</v>
      </c>
      <c r="M128" s="9">
        <v>716</v>
      </c>
      <c r="N128" s="9">
        <v>732</v>
      </c>
      <c r="O128" s="29">
        <f t="shared" si="1"/>
        <v>8568</v>
      </c>
    </row>
    <row r="129" spans="1:15" ht="15" customHeight="1" x14ac:dyDescent="0.3">
      <c r="A129" s="6" t="s">
        <v>175</v>
      </c>
      <c r="B129" s="6" t="s">
        <v>150</v>
      </c>
      <c r="C129" s="9">
        <v>736</v>
      </c>
      <c r="D129" s="9">
        <v>662</v>
      </c>
      <c r="E129" s="9">
        <v>744</v>
      </c>
      <c r="F129" s="9">
        <v>707</v>
      </c>
      <c r="G129" s="9">
        <v>722</v>
      </c>
      <c r="H129" s="9">
        <v>702</v>
      </c>
      <c r="I129" s="9">
        <v>652</v>
      </c>
      <c r="J129" s="9">
        <v>688</v>
      </c>
      <c r="K129" s="9">
        <v>678</v>
      </c>
      <c r="L129" s="9">
        <v>718</v>
      </c>
      <c r="M129" s="9">
        <v>712</v>
      </c>
      <c r="N129" s="9">
        <v>734</v>
      </c>
      <c r="O129" s="29">
        <f t="shared" si="1"/>
        <v>8455</v>
      </c>
    </row>
    <row r="130" spans="1:15" ht="15" customHeight="1" x14ac:dyDescent="0.3">
      <c r="A130" s="6" t="s">
        <v>374</v>
      </c>
      <c r="B130" s="6" t="s">
        <v>375</v>
      </c>
      <c r="C130" s="9">
        <v>132</v>
      </c>
      <c r="D130" s="9">
        <v>360</v>
      </c>
      <c r="E130" s="9">
        <v>686</v>
      </c>
      <c r="F130" s="9">
        <v>716</v>
      </c>
      <c r="G130" s="9">
        <v>744</v>
      </c>
      <c r="H130" s="9">
        <v>720</v>
      </c>
      <c r="I130" s="9">
        <v>744</v>
      </c>
      <c r="J130" s="9">
        <v>744</v>
      </c>
      <c r="K130" s="9">
        <v>720</v>
      </c>
      <c r="L130" s="9">
        <v>744</v>
      </c>
      <c r="M130" s="9">
        <v>720</v>
      </c>
      <c r="N130" s="9">
        <v>686</v>
      </c>
      <c r="O130" s="29">
        <f t="shared" si="1"/>
        <v>7716</v>
      </c>
    </row>
    <row r="131" spans="1:15" ht="15" customHeight="1" x14ac:dyDescent="0.3">
      <c r="A131" s="6" t="s">
        <v>176</v>
      </c>
      <c r="B131" s="6" t="s">
        <v>138</v>
      </c>
      <c r="C131" s="9">
        <v>744</v>
      </c>
      <c r="D131" s="9">
        <v>671</v>
      </c>
      <c r="E131" s="9">
        <v>744</v>
      </c>
      <c r="F131" s="9">
        <v>720</v>
      </c>
      <c r="G131" s="9">
        <v>744</v>
      </c>
      <c r="H131" s="9">
        <v>720</v>
      </c>
      <c r="I131" s="9">
        <v>744</v>
      </c>
      <c r="J131" s="9">
        <v>744</v>
      </c>
      <c r="K131" s="9">
        <v>720</v>
      </c>
      <c r="L131" s="9">
        <v>744</v>
      </c>
      <c r="M131" s="9">
        <v>720</v>
      </c>
      <c r="N131" s="9">
        <v>744</v>
      </c>
      <c r="O131" s="29">
        <f t="shared" si="1"/>
        <v>8759</v>
      </c>
    </row>
    <row r="132" spans="1:15" ht="15" customHeight="1" x14ac:dyDescent="0.3">
      <c r="A132" s="6" t="s">
        <v>467</v>
      </c>
      <c r="B132" s="6" t="s">
        <v>468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>
        <v>573</v>
      </c>
      <c r="N132" s="9">
        <v>739</v>
      </c>
      <c r="O132" s="29">
        <f t="shared" ref="O132:O195" si="2">SUM(C132:N132)</f>
        <v>1312</v>
      </c>
    </row>
    <row r="133" spans="1:15" ht="15" customHeight="1" x14ac:dyDescent="0.3">
      <c r="A133" s="6" t="s">
        <v>177</v>
      </c>
      <c r="B133" s="6" t="s">
        <v>38</v>
      </c>
      <c r="C133" s="9">
        <v>744</v>
      </c>
      <c r="D133" s="9">
        <v>639</v>
      </c>
      <c r="E133" s="9">
        <v>554</v>
      </c>
      <c r="F133" s="9">
        <v>656</v>
      </c>
      <c r="G133" s="9">
        <v>721</v>
      </c>
      <c r="H133" s="9">
        <v>690</v>
      </c>
      <c r="I133" s="9">
        <v>723</v>
      </c>
      <c r="J133" s="9">
        <v>740</v>
      </c>
      <c r="K133" s="9">
        <v>720</v>
      </c>
      <c r="L133" s="9">
        <v>744</v>
      </c>
      <c r="M133" s="9">
        <v>707</v>
      </c>
      <c r="N133" s="9">
        <v>724</v>
      </c>
      <c r="O133" s="29">
        <f t="shared" si="2"/>
        <v>8362</v>
      </c>
    </row>
    <row r="134" spans="1:15" ht="15" customHeight="1" x14ac:dyDescent="0.3">
      <c r="A134" s="6" t="s">
        <v>178</v>
      </c>
      <c r="B134" s="6" t="s">
        <v>68</v>
      </c>
      <c r="C134" s="9">
        <v>740</v>
      </c>
      <c r="D134" s="9">
        <v>672</v>
      </c>
      <c r="E134" s="9">
        <v>744</v>
      </c>
      <c r="F134" s="9">
        <v>720</v>
      </c>
      <c r="G134" s="9">
        <v>741</v>
      </c>
      <c r="H134" s="9">
        <v>720</v>
      </c>
      <c r="I134" s="9">
        <v>744</v>
      </c>
      <c r="J134" s="9">
        <v>744</v>
      </c>
      <c r="K134" s="9">
        <v>720</v>
      </c>
      <c r="L134" s="9">
        <v>744</v>
      </c>
      <c r="M134" s="9">
        <v>708</v>
      </c>
      <c r="N134" s="9">
        <v>744</v>
      </c>
      <c r="O134" s="29">
        <f t="shared" si="2"/>
        <v>8741</v>
      </c>
    </row>
    <row r="135" spans="1:15" ht="15" customHeight="1" x14ac:dyDescent="0.3">
      <c r="A135" s="6" t="s">
        <v>179</v>
      </c>
      <c r="B135" s="6" t="s">
        <v>169</v>
      </c>
      <c r="C135" s="9">
        <v>744</v>
      </c>
      <c r="D135" s="9">
        <v>654</v>
      </c>
      <c r="E135" s="9">
        <v>744</v>
      </c>
      <c r="F135" s="9">
        <v>720</v>
      </c>
      <c r="G135" s="9">
        <v>711</v>
      </c>
      <c r="H135" s="9">
        <v>720</v>
      </c>
      <c r="I135" s="9">
        <v>744</v>
      </c>
      <c r="J135" s="9">
        <v>744</v>
      </c>
      <c r="K135" s="9">
        <v>568</v>
      </c>
      <c r="L135" s="9">
        <v>742</v>
      </c>
      <c r="M135" s="9">
        <v>720</v>
      </c>
      <c r="N135" s="9">
        <v>744</v>
      </c>
      <c r="O135" s="29">
        <f t="shared" si="2"/>
        <v>8555</v>
      </c>
    </row>
    <row r="136" spans="1:15" ht="15" customHeight="1" x14ac:dyDescent="0.3">
      <c r="A136" s="6" t="s">
        <v>180</v>
      </c>
      <c r="B136" s="6" t="s">
        <v>135</v>
      </c>
      <c r="C136" s="9">
        <v>744</v>
      </c>
      <c r="D136" s="9">
        <v>575</v>
      </c>
      <c r="E136" s="9">
        <v>644</v>
      </c>
      <c r="F136" s="9">
        <v>512</v>
      </c>
      <c r="G136" s="9">
        <v>484</v>
      </c>
      <c r="H136" s="9">
        <v>579</v>
      </c>
      <c r="I136" s="9">
        <v>588</v>
      </c>
      <c r="J136" s="9">
        <v>650</v>
      </c>
      <c r="K136" s="9">
        <v>720</v>
      </c>
      <c r="L136" s="9">
        <v>744</v>
      </c>
      <c r="M136" s="9">
        <v>720</v>
      </c>
      <c r="N136" s="9">
        <v>744</v>
      </c>
      <c r="O136" s="29">
        <f t="shared" si="2"/>
        <v>7704</v>
      </c>
    </row>
    <row r="137" spans="1:15" ht="15" customHeight="1" x14ac:dyDescent="0.3">
      <c r="A137" s="6" t="s">
        <v>181</v>
      </c>
      <c r="B137" s="6" t="s">
        <v>182</v>
      </c>
      <c r="C137" s="9">
        <v>741</v>
      </c>
      <c r="D137" s="9">
        <v>668</v>
      </c>
      <c r="E137" s="9">
        <v>505</v>
      </c>
      <c r="F137" s="9">
        <v>720</v>
      </c>
      <c r="G137" s="9">
        <v>744</v>
      </c>
      <c r="H137" s="9">
        <v>720</v>
      </c>
      <c r="I137" s="9">
        <v>744</v>
      </c>
      <c r="J137" s="9">
        <v>744</v>
      </c>
      <c r="K137" s="9">
        <v>720</v>
      </c>
      <c r="L137" s="9">
        <v>744</v>
      </c>
      <c r="M137" s="9">
        <v>720</v>
      </c>
      <c r="N137" s="9">
        <v>722</v>
      </c>
      <c r="O137" s="29">
        <f t="shared" si="2"/>
        <v>8492</v>
      </c>
    </row>
    <row r="138" spans="1:15" ht="15" customHeight="1" x14ac:dyDescent="0.3">
      <c r="A138" s="6" t="s">
        <v>184</v>
      </c>
      <c r="B138" s="6" t="s">
        <v>185</v>
      </c>
      <c r="C138" s="9">
        <v>740</v>
      </c>
      <c r="D138" s="9">
        <v>672</v>
      </c>
      <c r="E138" s="9">
        <v>744</v>
      </c>
      <c r="F138" s="9">
        <v>708</v>
      </c>
      <c r="G138" s="9">
        <v>736</v>
      </c>
      <c r="H138" s="9">
        <v>720</v>
      </c>
      <c r="I138" s="9">
        <v>744</v>
      </c>
      <c r="J138" s="9">
        <v>735</v>
      </c>
      <c r="K138" s="9">
        <v>720</v>
      </c>
      <c r="L138" s="9">
        <v>744</v>
      </c>
      <c r="M138" s="9">
        <v>720</v>
      </c>
      <c r="N138" s="9">
        <v>744</v>
      </c>
      <c r="O138" s="29">
        <f t="shared" si="2"/>
        <v>8727</v>
      </c>
    </row>
    <row r="139" spans="1:15" ht="15" customHeight="1" x14ac:dyDescent="0.3">
      <c r="A139" s="6" t="s">
        <v>472</v>
      </c>
      <c r="B139" s="6" t="s">
        <v>468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>
        <v>598</v>
      </c>
      <c r="N139" s="9">
        <v>502</v>
      </c>
      <c r="O139" s="29">
        <f t="shared" si="2"/>
        <v>1100</v>
      </c>
    </row>
    <row r="140" spans="1:15" ht="15" customHeight="1" x14ac:dyDescent="0.3">
      <c r="A140" s="6" t="s">
        <v>187</v>
      </c>
      <c r="B140" s="6" t="s">
        <v>169</v>
      </c>
      <c r="C140" s="9">
        <v>742</v>
      </c>
      <c r="D140" s="9">
        <v>620</v>
      </c>
      <c r="E140" s="9">
        <v>730</v>
      </c>
      <c r="F140" s="9">
        <v>720</v>
      </c>
      <c r="G140" s="9">
        <v>744</v>
      </c>
      <c r="H140" s="9">
        <v>720</v>
      </c>
      <c r="I140" s="9">
        <v>744</v>
      </c>
      <c r="J140" s="9">
        <v>744</v>
      </c>
      <c r="K140" s="9">
        <v>720</v>
      </c>
      <c r="L140" s="9">
        <v>742</v>
      </c>
      <c r="M140" s="9">
        <v>720</v>
      </c>
      <c r="N140" s="9">
        <v>744</v>
      </c>
      <c r="O140" s="29">
        <f t="shared" si="2"/>
        <v>8690</v>
      </c>
    </row>
    <row r="141" spans="1:15" ht="15" customHeight="1" x14ac:dyDescent="0.3">
      <c r="A141" s="6" t="s">
        <v>188</v>
      </c>
      <c r="B141" s="6" t="s">
        <v>132</v>
      </c>
      <c r="C141" s="9">
        <v>744</v>
      </c>
      <c r="D141" s="9">
        <v>672</v>
      </c>
      <c r="E141" s="9">
        <v>744</v>
      </c>
      <c r="F141" s="9">
        <v>706</v>
      </c>
      <c r="G141" s="9">
        <v>744</v>
      </c>
      <c r="H141" s="9">
        <v>718</v>
      </c>
      <c r="I141" s="9">
        <v>739</v>
      </c>
      <c r="J141" s="9">
        <v>550</v>
      </c>
      <c r="K141" s="9">
        <v>720</v>
      </c>
      <c r="L141" s="9">
        <v>744</v>
      </c>
      <c r="M141" s="9">
        <v>720</v>
      </c>
      <c r="N141" s="9">
        <v>744</v>
      </c>
      <c r="O141" s="29">
        <f t="shared" si="2"/>
        <v>8545</v>
      </c>
    </row>
    <row r="142" spans="1:15" ht="15" customHeight="1" x14ac:dyDescent="0.3">
      <c r="A142" s="6" t="s">
        <v>189</v>
      </c>
      <c r="B142" s="6" t="s">
        <v>38</v>
      </c>
      <c r="C142" s="9">
        <v>742</v>
      </c>
      <c r="D142" s="9">
        <v>629</v>
      </c>
      <c r="E142" s="9">
        <v>717</v>
      </c>
      <c r="F142" s="9">
        <v>588</v>
      </c>
      <c r="G142" s="9">
        <v>744</v>
      </c>
      <c r="H142" s="9">
        <v>720</v>
      </c>
      <c r="I142" s="9">
        <v>744</v>
      </c>
      <c r="J142" s="9">
        <v>744</v>
      </c>
      <c r="K142" s="9">
        <v>720</v>
      </c>
      <c r="L142" s="9">
        <v>744</v>
      </c>
      <c r="M142" s="9">
        <v>705</v>
      </c>
      <c r="N142" s="9">
        <v>744</v>
      </c>
      <c r="O142" s="29">
        <f t="shared" si="2"/>
        <v>8541</v>
      </c>
    </row>
    <row r="143" spans="1:15" ht="15" customHeight="1" x14ac:dyDescent="0.3">
      <c r="A143" s="6" t="s">
        <v>190</v>
      </c>
      <c r="B143" s="6" t="s">
        <v>85</v>
      </c>
      <c r="C143" s="9">
        <v>738</v>
      </c>
      <c r="D143" s="9">
        <v>672</v>
      </c>
      <c r="E143" s="9">
        <v>734</v>
      </c>
      <c r="F143" s="9">
        <v>717</v>
      </c>
      <c r="G143" s="9">
        <v>516</v>
      </c>
      <c r="H143" s="9">
        <v>586</v>
      </c>
      <c r="I143" s="9">
        <v>624</v>
      </c>
      <c r="J143" s="9">
        <v>648</v>
      </c>
      <c r="K143" s="9">
        <v>687</v>
      </c>
      <c r="L143" s="9">
        <v>698</v>
      </c>
      <c r="M143" s="9">
        <v>720</v>
      </c>
      <c r="N143" s="9">
        <v>653</v>
      </c>
      <c r="O143" s="29">
        <f t="shared" si="2"/>
        <v>7993</v>
      </c>
    </row>
    <row r="144" spans="1:15" ht="15" customHeight="1" x14ac:dyDescent="0.3">
      <c r="A144" s="6" t="s">
        <v>191</v>
      </c>
      <c r="B144" s="6" t="s">
        <v>192</v>
      </c>
      <c r="C144" s="9">
        <v>744</v>
      </c>
      <c r="D144" s="9">
        <v>634</v>
      </c>
      <c r="E144" s="9">
        <v>744</v>
      </c>
      <c r="F144" s="9">
        <v>687</v>
      </c>
      <c r="G144" s="9">
        <v>713</v>
      </c>
      <c r="H144" s="9">
        <v>638</v>
      </c>
      <c r="I144" s="9">
        <v>732</v>
      </c>
      <c r="J144" s="9">
        <v>744</v>
      </c>
      <c r="K144" s="9">
        <v>696</v>
      </c>
      <c r="L144" s="9">
        <v>714</v>
      </c>
      <c r="M144" s="9">
        <v>564</v>
      </c>
      <c r="N144" s="9">
        <v>323</v>
      </c>
      <c r="O144" s="29">
        <f t="shared" si="2"/>
        <v>7933</v>
      </c>
    </row>
    <row r="145" spans="1:15" ht="15" customHeight="1" x14ac:dyDescent="0.3">
      <c r="A145" s="6" t="s">
        <v>194</v>
      </c>
      <c r="B145" s="6" t="s">
        <v>195</v>
      </c>
      <c r="C145" s="9">
        <v>744</v>
      </c>
      <c r="D145" s="9">
        <v>672</v>
      </c>
      <c r="E145" s="9">
        <v>744</v>
      </c>
      <c r="F145" s="9">
        <v>672</v>
      </c>
      <c r="G145" s="9">
        <v>744</v>
      </c>
      <c r="H145" s="9">
        <v>720</v>
      </c>
      <c r="I145" s="9">
        <v>744</v>
      </c>
      <c r="J145" s="9">
        <v>726</v>
      </c>
      <c r="K145" s="9">
        <v>702</v>
      </c>
      <c r="L145" s="9">
        <v>744</v>
      </c>
      <c r="M145" s="9">
        <v>392</v>
      </c>
      <c r="N145" s="9">
        <v>728</v>
      </c>
      <c r="O145" s="29">
        <f t="shared" si="2"/>
        <v>8332</v>
      </c>
    </row>
    <row r="146" spans="1:15" ht="15" customHeight="1" x14ac:dyDescent="0.3">
      <c r="A146" s="6" t="s">
        <v>473</v>
      </c>
      <c r="B146" s="6" t="s">
        <v>468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>
        <v>468</v>
      </c>
      <c r="N146" s="9">
        <v>738</v>
      </c>
      <c r="O146" s="29">
        <f t="shared" si="2"/>
        <v>1206</v>
      </c>
    </row>
    <row r="147" spans="1:15" ht="15" customHeight="1" x14ac:dyDescent="0.3">
      <c r="A147" s="6" t="s">
        <v>197</v>
      </c>
      <c r="B147" s="6" t="s">
        <v>198</v>
      </c>
      <c r="C147" s="9">
        <v>744</v>
      </c>
      <c r="D147" s="9">
        <v>672</v>
      </c>
      <c r="E147" s="9">
        <v>624</v>
      </c>
      <c r="F147" s="9">
        <v>720</v>
      </c>
      <c r="G147" s="9">
        <v>744</v>
      </c>
      <c r="H147" s="9">
        <v>720</v>
      </c>
      <c r="I147" s="9">
        <v>732</v>
      </c>
      <c r="J147" s="9">
        <v>274</v>
      </c>
      <c r="K147" s="9">
        <v>658</v>
      </c>
      <c r="L147" s="9">
        <v>664</v>
      </c>
      <c r="M147" s="9">
        <v>632</v>
      </c>
      <c r="N147" s="9">
        <v>662</v>
      </c>
      <c r="O147" s="29">
        <f t="shared" si="2"/>
        <v>7846</v>
      </c>
    </row>
    <row r="148" spans="1:15" ht="15" customHeight="1" x14ac:dyDescent="0.3">
      <c r="A148" s="6" t="s">
        <v>200</v>
      </c>
      <c r="B148" s="6" t="s">
        <v>169</v>
      </c>
      <c r="C148" s="9">
        <v>742</v>
      </c>
      <c r="D148" s="9">
        <v>636</v>
      </c>
      <c r="E148" s="9">
        <v>744</v>
      </c>
      <c r="F148" s="9">
        <v>720</v>
      </c>
      <c r="G148" s="9">
        <v>723</v>
      </c>
      <c r="H148" s="9">
        <v>720</v>
      </c>
      <c r="I148" s="9">
        <v>528</v>
      </c>
      <c r="J148" s="9">
        <v>744</v>
      </c>
      <c r="K148" s="9">
        <v>720</v>
      </c>
      <c r="L148" s="9">
        <v>742</v>
      </c>
      <c r="M148" s="9">
        <v>720</v>
      </c>
      <c r="N148" s="9">
        <v>744</v>
      </c>
      <c r="O148" s="29">
        <f t="shared" si="2"/>
        <v>8483</v>
      </c>
    </row>
    <row r="149" spans="1:15" ht="15" customHeight="1" x14ac:dyDescent="0.3">
      <c r="A149" s="6" t="s">
        <v>201</v>
      </c>
      <c r="B149" s="6" t="s">
        <v>150</v>
      </c>
      <c r="C149" s="9">
        <v>726</v>
      </c>
      <c r="D149" s="9">
        <v>666</v>
      </c>
      <c r="E149" s="9">
        <v>744</v>
      </c>
      <c r="F149" s="9">
        <v>718</v>
      </c>
      <c r="G149" s="9">
        <v>732</v>
      </c>
      <c r="H149" s="9">
        <v>464</v>
      </c>
      <c r="I149" s="9">
        <v>744</v>
      </c>
      <c r="J149" s="9">
        <v>720</v>
      </c>
      <c r="K149" s="9">
        <v>540</v>
      </c>
      <c r="L149" s="9">
        <v>728</v>
      </c>
      <c r="M149" s="9">
        <v>720</v>
      </c>
      <c r="N149" s="9">
        <v>735</v>
      </c>
      <c r="O149" s="29">
        <f t="shared" si="2"/>
        <v>8237</v>
      </c>
    </row>
    <row r="150" spans="1:15" ht="15" customHeight="1" x14ac:dyDescent="0.3">
      <c r="A150" s="6" t="s">
        <v>202</v>
      </c>
      <c r="B150" s="6" t="s">
        <v>85</v>
      </c>
      <c r="C150" s="9">
        <v>738</v>
      </c>
      <c r="D150" s="9">
        <v>672</v>
      </c>
      <c r="E150" s="9">
        <v>734</v>
      </c>
      <c r="F150" s="9">
        <v>717</v>
      </c>
      <c r="G150" s="9">
        <v>516</v>
      </c>
      <c r="H150" s="9">
        <v>706</v>
      </c>
      <c r="I150" s="9">
        <v>674</v>
      </c>
      <c r="J150" s="9">
        <v>660</v>
      </c>
      <c r="K150" s="9">
        <v>701</v>
      </c>
      <c r="L150" s="9">
        <v>713</v>
      </c>
      <c r="M150" s="9">
        <v>720</v>
      </c>
      <c r="N150" s="9">
        <v>713</v>
      </c>
      <c r="O150" s="29">
        <f t="shared" si="2"/>
        <v>8264</v>
      </c>
    </row>
    <row r="151" spans="1:15" ht="15" customHeight="1" x14ac:dyDescent="0.3">
      <c r="A151" s="6" t="s">
        <v>203</v>
      </c>
      <c r="B151" s="6" t="s">
        <v>150</v>
      </c>
      <c r="C151" s="9">
        <v>736</v>
      </c>
      <c r="D151" s="9">
        <v>660</v>
      </c>
      <c r="E151" s="9">
        <v>744</v>
      </c>
      <c r="F151" s="9">
        <v>709</v>
      </c>
      <c r="G151" s="9">
        <v>736</v>
      </c>
      <c r="H151" s="9">
        <v>596</v>
      </c>
      <c r="I151" s="9">
        <v>640</v>
      </c>
      <c r="J151" s="9">
        <v>744</v>
      </c>
      <c r="K151" s="9">
        <v>656</v>
      </c>
      <c r="L151" s="9">
        <v>744</v>
      </c>
      <c r="M151" s="9">
        <v>720</v>
      </c>
      <c r="N151" s="9">
        <v>744</v>
      </c>
      <c r="O151" s="29">
        <f t="shared" si="2"/>
        <v>8429</v>
      </c>
    </row>
    <row r="152" spans="1:15" ht="15" customHeight="1" x14ac:dyDescent="0.3">
      <c r="A152" s="6" t="s">
        <v>204</v>
      </c>
      <c r="B152" s="6" t="s">
        <v>115</v>
      </c>
      <c r="C152" s="9">
        <v>681</v>
      </c>
      <c r="D152" s="9">
        <v>348</v>
      </c>
      <c r="E152" s="9">
        <v>635</v>
      </c>
      <c r="F152" s="9">
        <v>712</v>
      </c>
      <c r="G152" s="9">
        <v>731</v>
      </c>
      <c r="H152" s="9">
        <v>720</v>
      </c>
      <c r="I152" s="9">
        <v>744</v>
      </c>
      <c r="J152" s="9">
        <v>727</v>
      </c>
      <c r="K152" s="9">
        <v>720</v>
      </c>
      <c r="L152" s="9">
        <v>738</v>
      </c>
      <c r="M152" s="9">
        <v>720</v>
      </c>
      <c r="N152" s="9">
        <v>720</v>
      </c>
      <c r="O152" s="29">
        <f t="shared" si="2"/>
        <v>8196</v>
      </c>
    </row>
    <row r="153" spans="1:15" ht="15" customHeight="1" x14ac:dyDescent="0.3">
      <c r="A153" s="6" t="s">
        <v>205</v>
      </c>
      <c r="B153" s="6" t="s">
        <v>206</v>
      </c>
      <c r="C153" s="9">
        <v>744</v>
      </c>
      <c r="D153" s="9">
        <v>672</v>
      </c>
      <c r="E153" s="9">
        <v>744</v>
      </c>
      <c r="F153" s="9">
        <v>712</v>
      </c>
      <c r="G153" s="9">
        <v>744</v>
      </c>
      <c r="H153" s="9">
        <v>720</v>
      </c>
      <c r="I153" s="9">
        <v>744</v>
      </c>
      <c r="J153" s="9">
        <v>744</v>
      </c>
      <c r="K153" s="9">
        <v>720</v>
      </c>
      <c r="L153" s="9">
        <v>736</v>
      </c>
      <c r="M153" s="9">
        <v>720</v>
      </c>
      <c r="N153" s="9">
        <v>744</v>
      </c>
      <c r="O153" s="29">
        <f t="shared" si="2"/>
        <v>8744</v>
      </c>
    </row>
    <row r="154" spans="1:15" ht="15" customHeight="1" x14ac:dyDescent="0.3">
      <c r="A154" s="6" t="s">
        <v>208</v>
      </c>
      <c r="B154" s="6" t="s">
        <v>169</v>
      </c>
      <c r="C154" s="9">
        <v>742</v>
      </c>
      <c r="D154" s="9">
        <v>636</v>
      </c>
      <c r="E154" s="9">
        <v>730</v>
      </c>
      <c r="F154" s="9">
        <v>720</v>
      </c>
      <c r="G154" s="9">
        <v>744</v>
      </c>
      <c r="H154" s="9">
        <v>720</v>
      </c>
      <c r="I154" s="9">
        <v>744</v>
      </c>
      <c r="J154" s="9">
        <v>744</v>
      </c>
      <c r="K154" s="9">
        <v>720</v>
      </c>
      <c r="L154" s="9">
        <v>742</v>
      </c>
      <c r="M154" s="9">
        <v>720</v>
      </c>
      <c r="N154" s="9">
        <v>744</v>
      </c>
      <c r="O154" s="29">
        <f t="shared" si="2"/>
        <v>8706</v>
      </c>
    </row>
    <row r="155" spans="1:15" ht="15" customHeight="1" x14ac:dyDescent="0.3">
      <c r="A155" s="6" t="s">
        <v>209</v>
      </c>
      <c r="B155" s="6" t="s">
        <v>169</v>
      </c>
      <c r="C155" s="9">
        <v>742</v>
      </c>
      <c r="D155" s="9">
        <v>584</v>
      </c>
      <c r="E155" s="9">
        <v>730</v>
      </c>
      <c r="F155" s="9">
        <v>720</v>
      </c>
      <c r="G155" s="9">
        <v>744</v>
      </c>
      <c r="H155" s="9">
        <v>720</v>
      </c>
      <c r="I155" s="9">
        <v>744</v>
      </c>
      <c r="J155" s="9">
        <v>744</v>
      </c>
      <c r="K155" s="9">
        <v>720</v>
      </c>
      <c r="L155" s="9">
        <v>742</v>
      </c>
      <c r="M155" s="9">
        <v>720</v>
      </c>
      <c r="N155" s="9">
        <v>744</v>
      </c>
      <c r="O155" s="29">
        <f t="shared" si="2"/>
        <v>8654</v>
      </c>
    </row>
    <row r="156" spans="1:15" ht="15" customHeight="1" x14ac:dyDescent="0.3">
      <c r="A156" s="6" t="s">
        <v>210</v>
      </c>
      <c r="B156" s="6" t="s">
        <v>65</v>
      </c>
      <c r="C156" s="9">
        <v>500</v>
      </c>
      <c r="D156" s="9">
        <v>656</v>
      </c>
      <c r="E156" s="9">
        <v>738</v>
      </c>
      <c r="F156" s="9">
        <v>720</v>
      </c>
      <c r="G156" s="9">
        <v>744</v>
      </c>
      <c r="H156" s="9">
        <v>704</v>
      </c>
      <c r="I156" s="9">
        <v>742</v>
      </c>
      <c r="J156" s="9">
        <v>742</v>
      </c>
      <c r="K156" s="9">
        <v>720</v>
      </c>
      <c r="L156" s="9">
        <v>744</v>
      </c>
      <c r="M156" s="9">
        <v>720</v>
      </c>
      <c r="N156" s="9">
        <v>744</v>
      </c>
      <c r="O156" s="29">
        <f t="shared" si="2"/>
        <v>8474</v>
      </c>
    </row>
    <row r="157" spans="1:15" ht="15" customHeight="1" x14ac:dyDescent="0.3">
      <c r="A157" s="6" t="s">
        <v>211</v>
      </c>
      <c r="B157" s="6" t="s">
        <v>212</v>
      </c>
      <c r="C157" s="9">
        <v>744</v>
      </c>
      <c r="D157" s="9">
        <v>644</v>
      </c>
      <c r="E157" s="9">
        <v>744</v>
      </c>
      <c r="F157" s="9">
        <v>697</v>
      </c>
      <c r="G157" s="9">
        <v>723</v>
      </c>
      <c r="H157" s="9">
        <v>720</v>
      </c>
      <c r="I157" s="9">
        <v>711</v>
      </c>
      <c r="J157" s="9">
        <v>301</v>
      </c>
      <c r="K157" s="9">
        <v>720</v>
      </c>
      <c r="L157" s="9">
        <v>730</v>
      </c>
      <c r="M157" s="9">
        <v>708</v>
      </c>
      <c r="N157" s="9">
        <v>687</v>
      </c>
      <c r="O157" s="29">
        <f t="shared" si="2"/>
        <v>8129</v>
      </c>
    </row>
    <row r="158" spans="1:15" ht="15" customHeight="1" x14ac:dyDescent="0.3">
      <c r="A158" s="6" t="s">
        <v>214</v>
      </c>
      <c r="B158" s="6" t="s">
        <v>215</v>
      </c>
      <c r="C158" s="9">
        <v>744</v>
      </c>
      <c r="D158" s="9">
        <v>668</v>
      </c>
      <c r="E158" s="9">
        <v>744</v>
      </c>
      <c r="F158" s="9">
        <v>660</v>
      </c>
      <c r="G158" s="9">
        <v>744</v>
      </c>
      <c r="H158" s="9">
        <v>701</v>
      </c>
      <c r="I158" s="9">
        <v>744</v>
      </c>
      <c r="J158" s="9">
        <v>744</v>
      </c>
      <c r="K158" s="9">
        <v>696</v>
      </c>
      <c r="L158" s="9">
        <v>692</v>
      </c>
      <c r="M158" s="9">
        <v>686</v>
      </c>
      <c r="N158" s="9">
        <v>647</v>
      </c>
      <c r="O158" s="29">
        <f t="shared" si="2"/>
        <v>8470</v>
      </c>
    </row>
    <row r="159" spans="1:15" ht="15" customHeight="1" x14ac:dyDescent="0.3">
      <c r="A159" s="6" t="s">
        <v>216</v>
      </c>
      <c r="B159" s="6" t="s">
        <v>217</v>
      </c>
      <c r="C159" s="9">
        <v>744</v>
      </c>
      <c r="D159" s="9">
        <v>672</v>
      </c>
      <c r="E159" s="9">
        <v>742</v>
      </c>
      <c r="F159" s="9">
        <v>714</v>
      </c>
      <c r="G159" s="9">
        <v>743</v>
      </c>
      <c r="H159" s="9">
        <v>621</v>
      </c>
      <c r="I159" s="9">
        <v>744</v>
      </c>
      <c r="J159" s="9">
        <v>744</v>
      </c>
      <c r="K159" s="9">
        <v>720</v>
      </c>
      <c r="L159" s="9">
        <v>744</v>
      </c>
      <c r="M159" s="9">
        <v>720</v>
      </c>
      <c r="N159" s="9">
        <v>744</v>
      </c>
      <c r="O159" s="29">
        <f t="shared" si="2"/>
        <v>8652</v>
      </c>
    </row>
    <row r="160" spans="1:15" ht="15" customHeight="1" x14ac:dyDescent="0.3">
      <c r="A160" s="6" t="s">
        <v>219</v>
      </c>
      <c r="B160" s="6" t="s">
        <v>138</v>
      </c>
      <c r="C160" s="9">
        <v>744</v>
      </c>
      <c r="D160" s="9">
        <v>663</v>
      </c>
      <c r="E160" s="9">
        <v>727</v>
      </c>
      <c r="F160" s="9">
        <v>720</v>
      </c>
      <c r="G160" s="9">
        <v>744</v>
      </c>
      <c r="H160" s="9">
        <v>720</v>
      </c>
      <c r="I160" s="9">
        <v>742</v>
      </c>
      <c r="J160" s="9">
        <v>744</v>
      </c>
      <c r="K160" s="9">
        <v>720</v>
      </c>
      <c r="L160" s="9">
        <v>744</v>
      </c>
      <c r="M160" s="9">
        <v>720</v>
      </c>
      <c r="N160" s="9">
        <v>744</v>
      </c>
      <c r="O160" s="29">
        <f t="shared" si="2"/>
        <v>8732</v>
      </c>
    </row>
    <row r="161" spans="1:15" ht="15" customHeight="1" x14ac:dyDescent="0.3">
      <c r="A161" s="6" t="s">
        <v>220</v>
      </c>
      <c r="B161" s="6" t="s">
        <v>115</v>
      </c>
      <c r="C161" s="9">
        <v>665</v>
      </c>
      <c r="D161" s="9">
        <v>507</v>
      </c>
      <c r="E161" s="9">
        <v>598</v>
      </c>
      <c r="F161" s="9">
        <v>717</v>
      </c>
      <c r="G161" s="9">
        <v>744</v>
      </c>
      <c r="H161" s="9">
        <v>720</v>
      </c>
      <c r="I161" s="9">
        <v>744</v>
      </c>
      <c r="J161" s="9">
        <v>727</v>
      </c>
      <c r="K161" s="9">
        <v>720</v>
      </c>
      <c r="L161" s="9">
        <v>697</v>
      </c>
      <c r="M161" s="9">
        <v>718</v>
      </c>
      <c r="N161" s="9">
        <v>696</v>
      </c>
      <c r="O161" s="29">
        <f t="shared" si="2"/>
        <v>8253</v>
      </c>
    </row>
    <row r="162" spans="1:15" ht="15" customHeight="1" x14ac:dyDescent="0.3">
      <c r="A162" s="6" t="s">
        <v>221</v>
      </c>
      <c r="B162" s="6" t="s">
        <v>206</v>
      </c>
      <c r="C162" s="9">
        <v>744</v>
      </c>
      <c r="D162" s="9">
        <v>672</v>
      </c>
      <c r="E162" s="9">
        <v>744</v>
      </c>
      <c r="F162" s="9">
        <v>720</v>
      </c>
      <c r="G162" s="9">
        <v>744</v>
      </c>
      <c r="H162" s="9">
        <v>720</v>
      </c>
      <c r="I162" s="9">
        <v>739</v>
      </c>
      <c r="J162" s="9">
        <v>737</v>
      </c>
      <c r="K162" s="9">
        <v>720</v>
      </c>
      <c r="L162" s="9">
        <v>744</v>
      </c>
      <c r="M162" s="9">
        <v>720</v>
      </c>
      <c r="N162" s="9">
        <v>744</v>
      </c>
      <c r="O162" s="29">
        <f t="shared" si="2"/>
        <v>8748</v>
      </c>
    </row>
    <row r="163" spans="1:15" ht="15" customHeight="1" x14ac:dyDescent="0.3">
      <c r="A163" s="6" t="s">
        <v>222</v>
      </c>
      <c r="B163" s="6" t="s">
        <v>159</v>
      </c>
      <c r="C163" s="9">
        <v>607</v>
      </c>
      <c r="D163" s="9">
        <v>576</v>
      </c>
      <c r="E163" s="9">
        <v>741</v>
      </c>
      <c r="F163" s="9">
        <v>720</v>
      </c>
      <c r="G163" s="9">
        <v>743</v>
      </c>
      <c r="H163" s="9">
        <v>720</v>
      </c>
      <c r="I163" s="9">
        <v>744</v>
      </c>
      <c r="J163" s="9">
        <v>744</v>
      </c>
      <c r="K163" s="9">
        <v>720</v>
      </c>
      <c r="L163" s="9">
        <v>732</v>
      </c>
      <c r="M163" s="9">
        <v>624</v>
      </c>
      <c r="N163" s="9">
        <v>744</v>
      </c>
      <c r="O163" s="29">
        <f t="shared" si="2"/>
        <v>8415</v>
      </c>
    </row>
    <row r="164" spans="1:15" ht="15" customHeight="1" x14ac:dyDescent="0.3">
      <c r="A164" s="6" t="s">
        <v>223</v>
      </c>
      <c r="B164" s="6" t="s">
        <v>169</v>
      </c>
      <c r="C164" s="9">
        <v>742</v>
      </c>
      <c r="D164" s="9">
        <v>649</v>
      </c>
      <c r="E164" s="9">
        <v>744</v>
      </c>
      <c r="F164" s="9">
        <v>720</v>
      </c>
      <c r="G164" s="9">
        <v>744</v>
      </c>
      <c r="H164" s="9">
        <v>720</v>
      </c>
      <c r="I164" s="9">
        <v>744</v>
      </c>
      <c r="J164" s="9">
        <v>744</v>
      </c>
      <c r="K164" s="9">
        <v>720</v>
      </c>
      <c r="L164" s="9">
        <v>562</v>
      </c>
      <c r="M164" s="9">
        <v>720</v>
      </c>
      <c r="N164" s="9">
        <v>744</v>
      </c>
      <c r="O164" s="29">
        <f t="shared" si="2"/>
        <v>8553</v>
      </c>
    </row>
    <row r="165" spans="1:15" ht="15" customHeight="1" x14ac:dyDescent="0.3">
      <c r="A165" s="6" t="s">
        <v>224</v>
      </c>
      <c r="B165" s="6" t="s">
        <v>225</v>
      </c>
      <c r="C165" s="9">
        <v>722</v>
      </c>
      <c r="D165" s="9">
        <v>672</v>
      </c>
      <c r="E165" s="9">
        <v>378</v>
      </c>
      <c r="F165" s="9">
        <v>562</v>
      </c>
      <c r="G165" s="9">
        <v>744</v>
      </c>
      <c r="H165" s="9">
        <v>715</v>
      </c>
      <c r="I165" s="9">
        <v>736</v>
      </c>
      <c r="J165" s="9">
        <v>744</v>
      </c>
      <c r="K165" s="9">
        <v>720</v>
      </c>
      <c r="L165" s="9">
        <v>682</v>
      </c>
      <c r="M165" s="9">
        <v>720</v>
      </c>
      <c r="N165" s="9">
        <v>744</v>
      </c>
      <c r="O165" s="29">
        <f t="shared" si="2"/>
        <v>8139</v>
      </c>
    </row>
    <row r="166" spans="1:15" ht="15" customHeight="1" x14ac:dyDescent="0.3">
      <c r="A166" s="6" t="s">
        <v>475</v>
      </c>
      <c r="B166" s="6" t="s">
        <v>476</v>
      </c>
      <c r="C166" s="9">
        <v>744</v>
      </c>
      <c r="D166" s="9">
        <v>672</v>
      </c>
      <c r="E166" s="9">
        <v>538</v>
      </c>
      <c r="F166" s="9"/>
      <c r="G166" s="9"/>
      <c r="H166" s="9"/>
      <c r="I166" s="9"/>
      <c r="J166" s="9"/>
      <c r="K166" s="9"/>
      <c r="L166" s="9"/>
      <c r="M166" s="9"/>
      <c r="N166" s="9"/>
      <c r="O166" s="29">
        <f t="shared" si="2"/>
        <v>1954</v>
      </c>
    </row>
    <row r="167" spans="1:15" ht="15" customHeight="1" x14ac:dyDescent="0.3">
      <c r="A167" s="6" t="s">
        <v>227</v>
      </c>
      <c r="B167" s="6" t="s">
        <v>44</v>
      </c>
      <c r="C167" s="9">
        <v>744</v>
      </c>
      <c r="D167" s="9">
        <v>664</v>
      </c>
      <c r="E167" s="9">
        <v>740</v>
      </c>
      <c r="F167" s="9">
        <v>720</v>
      </c>
      <c r="G167" s="9">
        <v>744</v>
      </c>
      <c r="H167" s="9">
        <v>720</v>
      </c>
      <c r="I167" s="9">
        <v>744</v>
      </c>
      <c r="J167" s="9">
        <v>744</v>
      </c>
      <c r="K167" s="9">
        <v>720</v>
      </c>
      <c r="L167" s="9">
        <v>744</v>
      </c>
      <c r="M167" s="9">
        <v>720</v>
      </c>
      <c r="N167" s="9">
        <v>744</v>
      </c>
      <c r="O167" s="29">
        <f t="shared" si="2"/>
        <v>8748</v>
      </c>
    </row>
    <row r="168" spans="1:15" ht="15" customHeight="1" x14ac:dyDescent="0.3">
      <c r="A168" s="6" t="s">
        <v>228</v>
      </c>
      <c r="B168" s="6" t="s">
        <v>123</v>
      </c>
      <c r="C168" s="9">
        <v>742</v>
      </c>
      <c r="D168" s="9">
        <v>663</v>
      </c>
      <c r="E168" s="9">
        <v>744</v>
      </c>
      <c r="F168" s="9">
        <v>714</v>
      </c>
      <c r="G168" s="9">
        <v>744</v>
      </c>
      <c r="H168" s="9">
        <v>712</v>
      </c>
      <c r="I168" s="9">
        <v>744</v>
      </c>
      <c r="J168" s="9">
        <v>737</v>
      </c>
      <c r="K168" s="9">
        <v>720</v>
      </c>
      <c r="L168" s="9">
        <v>744</v>
      </c>
      <c r="M168" s="9">
        <v>694</v>
      </c>
      <c r="N168" s="9">
        <v>679</v>
      </c>
      <c r="O168" s="29">
        <f t="shared" si="2"/>
        <v>8637</v>
      </c>
    </row>
    <row r="169" spans="1:15" ht="15" customHeight="1" x14ac:dyDescent="0.3">
      <c r="A169" s="6" t="s">
        <v>229</v>
      </c>
      <c r="B169" s="6" t="s">
        <v>100</v>
      </c>
      <c r="C169" s="9">
        <v>744</v>
      </c>
      <c r="D169" s="9">
        <v>589</v>
      </c>
      <c r="E169" s="9">
        <v>249</v>
      </c>
      <c r="F169" s="9">
        <v>720</v>
      </c>
      <c r="G169" s="9">
        <v>744</v>
      </c>
      <c r="H169" s="9">
        <v>720</v>
      </c>
      <c r="I169" s="9">
        <v>707</v>
      </c>
      <c r="J169" s="9">
        <v>651</v>
      </c>
      <c r="K169" s="9">
        <v>720</v>
      </c>
      <c r="L169" s="9">
        <v>744</v>
      </c>
      <c r="M169" s="9">
        <v>714</v>
      </c>
      <c r="N169" s="9">
        <v>744</v>
      </c>
      <c r="O169" s="29">
        <f t="shared" si="2"/>
        <v>8046</v>
      </c>
    </row>
    <row r="170" spans="1:15" ht="15" customHeight="1" x14ac:dyDescent="0.3">
      <c r="A170" s="6" t="s">
        <v>230</v>
      </c>
      <c r="B170" s="6" t="s">
        <v>231</v>
      </c>
      <c r="C170" s="9">
        <v>741</v>
      </c>
      <c r="D170" s="9">
        <v>670</v>
      </c>
      <c r="E170" s="9">
        <v>744</v>
      </c>
      <c r="F170" s="9">
        <v>720</v>
      </c>
      <c r="G170" s="9">
        <v>744</v>
      </c>
      <c r="H170" s="9">
        <v>720</v>
      </c>
      <c r="I170" s="9">
        <v>738</v>
      </c>
      <c r="J170" s="9">
        <v>744</v>
      </c>
      <c r="K170" s="9">
        <v>720</v>
      </c>
      <c r="L170" s="9">
        <v>724</v>
      </c>
      <c r="M170" s="9">
        <v>720</v>
      </c>
      <c r="N170" s="9">
        <v>736</v>
      </c>
      <c r="O170" s="29">
        <f t="shared" si="2"/>
        <v>8721</v>
      </c>
    </row>
    <row r="171" spans="1:15" ht="15" customHeight="1" x14ac:dyDescent="0.3">
      <c r="A171" s="6" t="s">
        <v>233</v>
      </c>
      <c r="B171" s="6" t="s">
        <v>231</v>
      </c>
      <c r="C171" s="9">
        <v>744</v>
      </c>
      <c r="D171" s="9">
        <v>672</v>
      </c>
      <c r="E171" s="9">
        <v>744</v>
      </c>
      <c r="F171" s="9">
        <v>720</v>
      </c>
      <c r="G171" s="9">
        <v>695</v>
      </c>
      <c r="H171" s="9">
        <v>696</v>
      </c>
      <c r="I171" s="9">
        <v>740</v>
      </c>
      <c r="J171" s="9">
        <v>554</v>
      </c>
      <c r="K171" s="9">
        <v>720</v>
      </c>
      <c r="L171" s="9">
        <v>744</v>
      </c>
      <c r="M171" s="9">
        <v>720</v>
      </c>
      <c r="N171" s="9">
        <v>312</v>
      </c>
      <c r="O171" s="29">
        <f t="shared" si="2"/>
        <v>8061</v>
      </c>
    </row>
    <row r="172" spans="1:15" ht="15" customHeight="1" x14ac:dyDescent="0.3">
      <c r="A172" s="6" t="s">
        <v>234</v>
      </c>
      <c r="B172" s="6" t="s">
        <v>235</v>
      </c>
      <c r="C172" s="9">
        <v>730</v>
      </c>
      <c r="D172" s="9">
        <v>672</v>
      </c>
      <c r="E172" s="9">
        <v>743</v>
      </c>
      <c r="F172" s="9">
        <v>718</v>
      </c>
      <c r="G172" s="9">
        <v>743</v>
      </c>
      <c r="H172" s="9">
        <v>713</v>
      </c>
      <c r="I172" s="9">
        <v>744</v>
      </c>
      <c r="J172" s="9">
        <v>744</v>
      </c>
      <c r="K172" s="9">
        <v>717</v>
      </c>
      <c r="L172" s="9">
        <v>744</v>
      </c>
      <c r="M172" s="9">
        <v>720</v>
      </c>
      <c r="N172" s="9">
        <v>744</v>
      </c>
      <c r="O172" s="29">
        <f t="shared" si="2"/>
        <v>8732</v>
      </c>
    </row>
    <row r="173" spans="1:15" ht="15" customHeight="1" x14ac:dyDescent="0.3">
      <c r="A173" s="6" t="s">
        <v>379</v>
      </c>
      <c r="B173" s="6" t="s">
        <v>169</v>
      </c>
      <c r="C173" s="9">
        <v>192</v>
      </c>
      <c r="D173" s="9">
        <v>604</v>
      </c>
      <c r="E173" s="9">
        <v>730</v>
      </c>
      <c r="F173" s="9">
        <v>720</v>
      </c>
      <c r="G173" s="9">
        <v>744</v>
      </c>
      <c r="H173" s="9">
        <v>720</v>
      </c>
      <c r="I173" s="9">
        <v>744</v>
      </c>
      <c r="J173" s="9">
        <v>744</v>
      </c>
      <c r="K173" s="9">
        <v>720</v>
      </c>
      <c r="L173" s="9">
        <v>742</v>
      </c>
      <c r="M173" s="9">
        <v>720</v>
      </c>
      <c r="N173" s="9">
        <v>744</v>
      </c>
      <c r="O173" s="29">
        <f t="shared" si="2"/>
        <v>8124</v>
      </c>
    </row>
    <row r="174" spans="1:15" ht="15" customHeight="1" x14ac:dyDescent="0.3">
      <c r="A174" s="6" t="s">
        <v>479</v>
      </c>
      <c r="B174" s="6" t="s">
        <v>182</v>
      </c>
      <c r="C174" s="9">
        <v>744</v>
      </c>
      <c r="D174" s="9">
        <v>595</v>
      </c>
      <c r="E174" s="9">
        <v>702</v>
      </c>
      <c r="F174" s="9">
        <v>720</v>
      </c>
      <c r="G174" s="9">
        <v>744</v>
      </c>
      <c r="H174" s="9">
        <v>720</v>
      </c>
      <c r="I174" s="9">
        <v>715</v>
      </c>
      <c r="J174" s="9">
        <v>744</v>
      </c>
      <c r="K174" s="9">
        <v>720</v>
      </c>
      <c r="L174" s="9">
        <v>744</v>
      </c>
      <c r="M174" s="9">
        <v>720</v>
      </c>
      <c r="N174" s="9">
        <v>192</v>
      </c>
      <c r="O174" s="29">
        <f t="shared" si="2"/>
        <v>8060</v>
      </c>
    </row>
    <row r="175" spans="1:15" ht="15" customHeight="1" x14ac:dyDescent="0.3">
      <c r="A175" s="6" t="s">
        <v>237</v>
      </c>
      <c r="B175" s="6" t="s">
        <v>212</v>
      </c>
      <c r="C175" s="9">
        <v>744</v>
      </c>
      <c r="D175" s="9">
        <v>660</v>
      </c>
      <c r="E175" s="9">
        <v>744</v>
      </c>
      <c r="F175" s="9">
        <v>708</v>
      </c>
      <c r="G175" s="9">
        <v>744</v>
      </c>
      <c r="H175" s="9">
        <v>714</v>
      </c>
      <c r="I175" s="9">
        <v>744</v>
      </c>
      <c r="J175" s="9">
        <v>744</v>
      </c>
      <c r="K175" s="9">
        <v>617</v>
      </c>
      <c r="L175" s="9">
        <v>667</v>
      </c>
      <c r="M175" s="9">
        <v>686</v>
      </c>
      <c r="N175" s="9">
        <v>414</v>
      </c>
      <c r="O175" s="29">
        <f t="shared" si="2"/>
        <v>8186</v>
      </c>
    </row>
    <row r="176" spans="1:15" ht="15" customHeight="1" x14ac:dyDescent="0.3">
      <c r="A176" s="6" t="s">
        <v>238</v>
      </c>
      <c r="B176" s="6" t="s">
        <v>239</v>
      </c>
      <c r="C176" s="9">
        <v>722</v>
      </c>
      <c r="D176" s="9">
        <v>668</v>
      </c>
      <c r="E176" s="9">
        <v>744</v>
      </c>
      <c r="F176" s="9">
        <v>720</v>
      </c>
      <c r="G176" s="9">
        <v>744</v>
      </c>
      <c r="H176" s="9">
        <v>720</v>
      </c>
      <c r="I176" s="9">
        <v>744</v>
      </c>
      <c r="J176" s="9">
        <v>744</v>
      </c>
      <c r="K176" s="9">
        <v>720</v>
      </c>
      <c r="L176" s="9">
        <v>744</v>
      </c>
      <c r="M176" s="9">
        <v>720</v>
      </c>
      <c r="N176" s="9">
        <v>738</v>
      </c>
      <c r="O176" s="29">
        <f t="shared" si="2"/>
        <v>8728</v>
      </c>
    </row>
    <row r="177" spans="1:15" ht="15" customHeight="1" x14ac:dyDescent="0.3">
      <c r="A177" s="6" t="s">
        <v>241</v>
      </c>
      <c r="B177" s="6" t="s">
        <v>242</v>
      </c>
      <c r="C177" s="9">
        <v>738</v>
      </c>
      <c r="D177" s="9">
        <v>636</v>
      </c>
      <c r="E177" s="9">
        <v>744</v>
      </c>
      <c r="F177" s="9">
        <v>720</v>
      </c>
      <c r="G177" s="9">
        <v>744</v>
      </c>
      <c r="H177" s="9">
        <v>720</v>
      </c>
      <c r="I177" s="9">
        <v>744</v>
      </c>
      <c r="J177" s="9">
        <v>744</v>
      </c>
      <c r="K177" s="9">
        <v>720</v>
      </c>
      <c r="L177" s="9">
        <v>557</v>
      </c>
      <c r="M177" s="9">
        <v>720</v>
      </c>
      <c r="N177" s="9">
        <v>744</v>
      </c>
      <c r="O177" s="29">
        <f t="shared" si="2"/>
        <v>8531</v>
      </c>
    </row>
    <row r="178" spans="1:15" ht="15" customHeight="1" x14ac:dyDescent="0.3">
      <c r="A178" s="6" t="s">
        <v>244</v>
      </c>
      <c r="B178" s="6" t="s">
        <v>206</v>
      </c>
      <c r="C178" s="9">
        <v>744</v>
      </c>
      <c r="D178" s="9">
        <v>672</v>
      </c>
      <c r="E178" s="9">
        <v>744</v>
      </c>
      <c r="F178" s="9">
        <v>720</v>
      </c>
      <c r="G178" s="9">
        <v>744</v>
      </c>
      <c r="H178" s="9">
        <v>720</v>
      </c>
      <c r="I178" s="9">
        <v>727</v>
      </c>
      <c r="J178" s="9">
        <v>717</v>
      </c>
      <c r="K178" s="9">
        <v>720</v>
      </c>
      <c r="L178" s="9">
        <v>742</v>
      </c>
      <c r="M178" s="9">
        <v>720</v>
      </c>
      <c r="N178" s="9">
        <v>744</v>
      </c>
      <c r="O178" s="29">
        <f t="shared" si="2"/>
        <v>8714</v>
      </c>
    </row>
    <row r="179" spans="1:15" ht="15" customHeight="1" x14ac:dyDescent="0.3">
      <c r="A179" s="6" t="s">
        <v>245</v>
      </c>
      <c r="B179" s="6" t="s">
        <v>246</v>
      </c>
      <c r="C179" s="9">
        <v>719</v>
      </c>
      <c r="D179" s="9">
        <v>655</v>
      </c>
      <c r="E179" s="9">
        <v>741</v>
      </c>
      <c r="F179" s="9">
        <v>720</v>
      </c>
      <c r="G179" s="9">
        <v>744</v>
      </c>
      <c r="H179" s="9">
        <v>720</v>
      </c>
      <c r="I179" s="9">
        <v>744</v>
      </c>
      <c r="J179" s="9">
        <v>744</v>
      </c>
      <c r="K179" s="9">
        <v>720</v>
      </c>
      <c r="L179" s="9">
        <v>744</v>
      </c>
      <c r="M179" s="9">
        <v>720</v>
      </c>
      <c r="N179" s="9">
        <v>744</v>
      </c>
      <c r="O179" s="29">
        <f t="shared" si="2"/>
        <v>8715</v>
      </c>
    </row>
    <row r="180" spans="1:15" ht="15" customHeight="1" x14ac:dyDescent="0.3">
      <c r="A180" s="6" t="s">
        <v>481</v>
      </c>
      <c r="B180" s="6" t="s">
        <v>182</v>
      </c>
      <c r="C180" s="9">
        <v>744</v>
      </c>
      <c r="D180" s="9">
        <v>658</v>
      </c>
      <c r="E180" s="9">
        <v>734</v>
      </c>
      <c r="F180" s="9">
        <v>720</v>
      </c>
      <c r="G180" s="9">
        <v>744</v>
      </c>
      <c r="H180" s="9">
        <v>720</v>
      </c>
      <c r="I180" s="9">
        <v>715</v>
      </c>
      <c r="J180" s="9">
        <v>736</v>
      </c>
      <c r="K180" s="9">
        <v>720</v>
      </c>
      <c r="L180" s="9">
        <v>744</v>
      </c>
      <c r="M180" s="9">
        <v>715</v>
      </c>
      <c r="N180" s="9">
        <v>192</v>
      </c>
      <c r="O180" s="29">
        <f t="shared" si="2"/>
        <v>8142</v>
      </c>
    </row>
    <row r="181" spans="1:15" ht="15" customHeight="1" x14ac:dyDescent="0.3">
      <c r="A181" s="6" t="s">
        <v>248</v>
      </c>
      <c r="B181" s="6" t="s">
        <v>249</v>
      </c>
      <c r="C181" s="9">
        <v>744</v>
      </c>
      <c r="D181" s="9">
        <v>672</v>
      </c>
      <c r="E181" s="9">
        <v>619</v>
      </c>
      <c r="F181" s="9">
        <v>702</v>
      </c>
      <c r="G181" s="9">
        <v>728</v>
      </c>
      <c r="H181" s="9">
        <v>719</v>
      </c>
      <c r="I181" s="9">
        <v>744</v>
      </c>
      <c r="J181" s="9">
        <v>744</v>
      </c>
      <c r="K181" s="9">
        <v>720</v>
      </c>
      <c r="L181" s="9">
        <v>744</v>
      </c>
      <c r="M181" s="9">
        <v>720</v>
      </c>
      <c r="N181" s="9">
        <v>744</v>
      </c>
      <c r="O181" s="29">
        <f t="shared" si="2"/>
        <v>8600</v>
      </c>
    </row>
    <row r="182" spans="1:15" ht="15" customHeight="1" x14ac:dyDescent="0.3">
      <c r="A182" s="6" t="s">
        <v>251</v>
      </c>
      <c r="B182" s="6" t="s">
        <v>132</v>
      </c>
      <c r="C182" s="9">
        <v>744</v>
      </c>
      <c r="D182" s="9">
        <v>648</v>
      </c>
      <c r="E182" s="9">
        <v>722</v>
      </c>
      <c r="F182" s="9">
        <v>655</v>
      </c>
      <c r="G182" s="9">
        <v>284</v>
      </c>
      <c r="H182" s="9">
        <v>702</v>
      </c>
      <c r="I182" s="9">
        <v>740</v>
      </c>
      <c r="J182" s="9">
        <v>733</v>
      </c>
      <c r="K182" s="9">
        <v>720</v>
      </c>
      <c r="L182" s="9">
        <v>744</v>
      </c>
      <c r="M182" s="9">
        <v>720</v>
      </c>
      <c r="N182" s="9">
        <v>744</v>
      </c>
      <c r="O182" s="29">
        <f t="shared" si="2"/>
        <v>8156</v>
      </c>
    </row>
    <row r="183" spans="1:15" ht="15" customHeight="1" x14ac:dyDescent="0.3">
      <c r="A183" s="6" t="s">
        <v>252</v>
      </c>
      <c r="B183" s="6" t="s">
        <v>173</v>
      </c>
      <c r="C183" s="9">
        <v>742</v>
      </c>
      <c r="D183" s="9">
        <v>672</v>
      </c>
      <c r="E183" s="9">
        <v>744</v>
      </c>
      <c r="F183" s="9">
        <v>720</v>
      </c>
      <c r="G183" s="9">
        <v>710</v>
      </c>
      <c r="H183" s="9">
        <v>714</v>
      </c>
      <c r="I183" s="9">
        <v>726</v>
      </c>
      <c r="J183" s="9">
        <v>744</v>
      </c>
      <c r="K183" s="9">
        <v>717</v>
      </c>
      <c r="L183" s="9">
        <v>744</v>
      </c>
      <c r="M183" s="9">
        <v>720</v>
      </c>
      <c r="N183" s="9">
        <v>744</v>
      </c>
      <c r="O183" s="29">
        <f t="shared" si="2"/>
        <v>8697</v>
      </c>
    </row>
    <row r="184" spans="1:15" ht="15" customHeight="1" x14ac:dyDescent="0.3">
      <c r="A184" s="6" t="s">
        <v>253</v>
      </c>
      <c r="B184" s="6" t="s">
        <v>173</v>
      </c>
      <c r="C184" s="9">
        <v>742</v>
      </c>
      <c r="D184" s="9">
        <v>672</v>
      </c>
      <c r="E184" s="9">
        <v>744</v>
      </c>
      <c r="F184" s="9">
        <v>720</v>
      </c>
      <c r="G184" s="9">
        <v>710</v>
      </c>
      <c r="H184" s="9">
        <v>714</v>
      </c>
      <c r="I184" s="9">
        <v>726</v>
      </c>
      <c r="J184" s="9">
        <v>744</v>
      </c>
      <c r="K184" s="9">
        <v>717</v>
      </c>
      <c r="L184" s="9">
        <v>744</v>
      </c>
      <c r="M184" s="9">
        <v>720</v>
      </c>
      <c r="N184" s="9">
        <v>744</v>
      </c>
      <c r="O184" s="29">
        <f t="shared" si="2"/>
        <v>8697</v>
      </c>
    </row>
    <row r="185" spans="1:15" ht="15" customHeight="1" x14ac:dyDescent="0.3">
      <c r="A185" s="6" t="s">
        <v>254</v>
      </c>
      <c r="B185" s="6" t="s">
        <v>255</v>
      </c>
      <c r="C185" s="9">
        <v>742</v>
      </c>
      <c r="D185" s="9">
        <v>554</v>
      </c>
      <c r="E185" s="9">
        <v>744</v>
      </c>
      <c r="F185" s="9">
        <v>720</v>
      </c>
      <c r="G185" s="9">
        <v>744</v>
      </c>
      <c r="H185" s="9">
        <v>720</v>
      </c>
      <c r="I185" s="9">
        <v>744</v>
      </c>
      <c r="J185" s="9">
        <v>744</v>
      </c>
      <c r="K185" s="9">
        <v>712</v>
      </c>
      <c r="L185" s="9">
        <v>744</v>
      </c>
      <c r="M185" s="9">
        <v>720</v>
      </c>
      <c r="N185" s="9">
        <v>744</v>
      </c>
      <c r="O185" s="29">
        <f t="shared" si="2"/>
        <v>8632</v>
      </c>
    </row>
    <row r="186" spans="1:15" ht="15" customHeight="1" x14ac:dyDescent="0.3">
      <c r="A186" s="6" t="s">
        <v>257</v>
      </c>
      <c r="B186" s="6" t="s">
        <v>255</v>
      </c>
      <c r="C186" s="9">
        <v>742</v>
      </c>
      <c r="D186" s="9">
        <v>627</v>
      </c>
      <c r="E186" s="9">
        <v>744</v>
      </c>
      <c r="F186" s="9">
        <v>720</v>
      </c>
      <c r="G186" s="9">
        <v>744</v>
      </c>
      <c r="H186" s="9">
        <v>720</v>
      </c>
      <c r="I186" s="9">
        <v>576</v>
      </c>
      <c r="J186" s="9">
        <v>744</v>
      </c>
      <c r="K186" s="9">
        <v>712</v>
      </c>
      <c r="L186" s="9">
        <v>744</v>
      </c>
      <c r="M186" s="9">
        <v>720</v>
      </c>
      <c r="N186" s="9">
        <v>744</v>
      </c>
      <c r="O186" s="29">
        <f t="shared" si="2"/>
        <v>8537</v>
      </c>
    </row>
    <row r="187" spans="1:15" ht="15" customHeight="1" x14ac:dyDescent="0.3">
      <c r="A187" s="6" t="s">
        <v>258</v>
      </c>
      <c r="B187" s="6" t="s">
        <v>68</v>
      </c>
      <c r="C187" s="9">
        <v>744</v>
      </c>
      <c r="D187" s="9">
        <v>672</v>
      </c>
      <c r="E187" s="9">
        <v>744</v>
      </c>
      <c r="F187" s="9">
        <v>720</v>
      </c>
      <c r="G187" s="9">
        <v>742</v>
      </c>
      <c r="H187" s="9">
        <v>711</v>
      </c>
      <c r="I187" s="9">
        <v>742</v>
      </c>
      <c r="J187" s="9">
        <v>744</v>
      </c>
      <c r="K187" s="9">
        <v>720</v>
      </c>
      <c r="L187" s="9">
        <v>744</v>
      </c>
      <c r="M187" s="9">
        <v>720</v>
      </c>
      <c r="N187" s="9">
        <v>744</v>
      </c>
      <c r="O187" s="29">
        <f t="shared" si="2"/>
        <v>8747</v>
      </c>
    </row>
    <row r="188" spans="1:15" ht="15" customHeight="1" x14ac:dyDescent="0.3">
      <c r="A188" s="6" t="s">
        <v>259</v>
      </c>
      <c r="B188" s="6" t="s">
        <v>235</v>
      </c>
      <c r="C188" s="9">
        <v>744</v>
      </c>
      <c r="D188" s="9">
        <v>672</v>
      </c>
      <c r="E188" s="9">
        <v>663</v>
      </c>
      <c r="F188" s="9">
        <v>591</v>
      </c>
      <c r="G188" s="9">
        <v>635</v>
      </c>
      <c r="H188" s="9">
        <v>681</v>
      </c>
      <c r="I188" s="9">
        <v>744</v>
      </c>
      <c r="J188" s="9">
        <v>744</v>
      </c>
      <c r="K188" s="9">
        <v>720</v>
      </c>
      <c r="L188" s="9">
        <v>707</v>
      </c>
      <c r="M188" s="9">
        <v>720</v>
      </c>
      <c r="N188" s="9">
        <v>744</v>
      </c>
      <c r="O188" s="29">
        <f t="shared" si="2"/>
        <v>8365</v>
      </c>
    </row>
    <row r="189" spans="1:15" ht="15" customHeight="1" x14ac:dyDescent="0.3">
      <c r="A189" s="6" t="s">
        <v>260</v>
      </c>
      <c r="B189" s="6" t="s">
        <v>95</v>
      </c>
      <c r="C189" s="9">
        <v>744</v>
      </c>
      <c r="D189" s="9">
        <v>672</v>
      </c>
      <c r="E189" s="9">
        <v>744</v>
      </c>
      <c r="F189" s="9">
        <v>720</v>
      </c>
      <c r="G189" s="9">
        <v>744</v>
      </c>
      <c r="H189" s="9">
        <v>720</v>
      </c>
      <c r="I189" s="9">
        <v>681</v>
      </c>
      <c r="J189" s="9">
        <v>702</v>
      </c>
      <c r="K189" s="9">
        <v>720</v>
      </c>
      <c r="L189" s="9">
        <v>744</v>
      </c>
      <c r="M189" s="9">
        <v>720</v>
      </c>
      <c r="N189" s="9">
        <v>744</v>
      </c>
      <c r="O189" s="29">
        <f t="shared" si="2"/>
        <v>8655</v>
      </c>
    </row>
    <row r="190" spans="1:15" ht="15" customHeight="1" x14ac:dyDescent="0.3">
      <c r="A190" s="6" t="s">
        <v>261</v>
      </c>
      <c r="B190" s="6" t="s">
        <v>246</v>
      </c>
      <c r="C190" s="9">
        <v>717</v>
      </c>
      <c r="D190" s="9">
        <v>503</v>
      </c>
      <c r="E190" s="9">
        <v>729</v>
      </c>
      <c r="F190" s="9">
        <v>720</v>
      </c>
      <c r="G190" s="9">
        <v>744</v>
      </c>
      <c r="H190" s="9">
        <v>720</v>
      </c>
      <c r="I190" s="9">
        <v>744</v>
      </c>
      <c r="J190" s="9">
        <v>744</v>
      </c>
      <c r="K190" s="9">
        <v>720</v>
      </c>
      <c r="L190" s="9">
        <v>744</v>
      </c>
      <c r="M190" s="9">
        <v>720</v>
      </c>
      <c r="N190" s="9">
        <v>744</v>
      </c>
      <c r="O190" s="29">
        <f t="shared" si="2"/>
        <v>8549</v>
      </c>
    </row>
    <row r="191" spans="1:15" ht="15" customHeight="1" x14ac:dyDescent="0.3">
      <c r="A191" s="6" t="s">
        <v>262</v>
      </c>
      <c r="B191" s="6" t="s">
        <v>263</v>
      </c>
      <c r="C191" s="9">
        <v>744</v>
      </c>
      <c r="D191" s="9">
        <v>670</v>
      </c>
      <c r="E191" s="9">
        <v>744</v>
      </c>
      <c r="F191" s="9">
        <v>718</v>
      </c>
      <c r="G191" s="9">
        <v>744</v>
      </c>
      <c r="H191" s="9">
        <v>720</v>
      </c>
      <c r="I191" s="9">
        <v>744</v>
      </c>
      <c r="J191" s="9">
        <v>744</v>
      </c>
      <c r="K191" s="9">
        <v>720</v>
      </c>
      <c r="L191" s="9">
        <v>744</v>
      </c>
      <c r="M191" s="9">
        <v>720</v>
      </c>
      <c r="N191" s="9">
        <v>744</v>
      </c>
      <c r="O191" s="29">
        <f t="shared" si="2"/>
        <v>8756</v>
      </c>
    </row>
    <row r="192" spans="1:15" ht="15" customHeight="1" x14ac:dyDescent="0.3">
      <c r="A192" s="6" t="s">
        <v>265</v>
      </c>
      <c r="B192" s="6" t="s">
        <v>266</v>
      </c>
      <c r="C192" s="9">
        <v>744</v>
      </c>
      <c r="D192" s="9">
        <v>664</v>
      </c>
      <c r="E192" s="9">
        <v>744</v>
      </c>
      <c r="F192" s="9">
        <v>720</v>
      </c>
      <c r="G192" s="9">
        <v>744</v>
      </c>
      <c r="H192" s="9">
        <v>720</v>
      </c>
      <c r="I192" s="9">
        <v>744</v>
      </c>
      <c r="J192" s="9">
        <v>744</v>
      </c>
      <c r="K192" s="9">
        <v>720</v>
      </c>
      <c r="L192" s="9">
        <v>744</v>
      </c>
      <c r="M192" s="9">
        <v>720</v>
      </c>
      <c r="N192" s="9">
        <v>720</v>
      </c>
      <c r="O192" s="29">
        <f t="shared" si="2"/>
        <v>8728</v>
      </c>
    </row>
    <row r="193" spans="1:15" ht="15" customHeight="1" x14ac:dyDescent="0.3">
      <c r="A193" s="6" t="s">
        <v>268</v>
      </c>
      <c r="B193" s="6" t="s">
        <v>269</v>
      </c>
      <c r="C193" s="9">
        <v>744</v>
      </c>
      <c r="D193" s="9">
        <v>671</v>
      </c>
      <c r="E193" s="9">
        <v>744</v>
      </c>
      <c r="F193" s="9">
        <v>690</v>
      </c>
      <c r="G193" s="9">
        <v>735</v>
      </c>
      <c r="H193" s="9">
        <v>719</v>
      </c>
      <c r="I193" s="9">
        <v>741</v>
      </c>
      <c r="J193" s="9">
        <v>738</v>
      </c>
      <c r="K193" s="9">
        <v>720</v>
      </c>
      <c r="L193" s="9">
        <v>744</v>
      </c>
      <c r="M193" s="9">
        <v>720</v>
      </c>
      <c r="N193" s="9">
        <v>744</v>
      </c>
      <c r="O193" s="29">
        <f t="shared" si="2"/>
        <v>8710</v>
      </c>
    </row>
    <row r="194" spans="1:15" ht="15" customHeight="1" x14ac:dyDescent="0.3">
      <c r="A194" s="6" t="s">
        <v>271</v>
      </c>
      <c r="B194" s="6" t="s">
        <v>272</v>
      </c>
      <c r="C194" s="9">
        <v>739</v>
      </c>
      <c r="D194" s="9">
        <v>643</v>
      </c>
      <c r="E194" s="9">
        <v>744</v>
      </c>
      <c r="F194" s="9">
        <v>720</v>
      </c>
      <c r="G194" s="9">
        <v>744</v>
      </c>
      <c r="H194" s="9">
        <v>720</v>
      </c>
      <c r="I194" s="9">
        <v>744</v>
      </c>
      <c r="J194" s="9">
        <v>744</v>
      </c>
      <c r="K194" s="9">
        <v>720</v>
      </c>
      <c r="L194" s="9">
        <v>744</v>
      </c>
      <c r="M194" s="9">
        <v>720</v>
      </c>
      <c r="N194" s="9">
        <v>552</v>
      </c>
      <c r="O194" s="29">
        <f t="shared" si="2"/>
        <v>8534</v>
      </c>
    </row>
    <row r="195" spans="1:15" ht="15" customHeight="1" x14ac:dyDescent="0.3">
      <c r="A195" s="6" t="s">
        <v>274</v>
      </c>
      <c r="B195" s="6" t="s">
        <v>275</v>
      </c>
      <c r="C195" s="9">
        <v>744</v>
      </c>
      <c r="D195" s="9">
        <v>672</v>
      </c>
      <c r="E195" s="9">
        <v>636</v>
      </c>
      <c r="F195" s="9">
        <v>462</v>
      </c>
      <c r="G195" s="9">
        <v>500</v>
      </c>
      <c r="H195" s="9">
        <v>572</v>
      </c>
      <c r="I195" s="9">
        <v>744</v>
      </c>
      <c r="J195" s="9">
        <v>744</v>
      </c>
      <c r="K195" s="9">
        <v>720</v>
      </c>
      <c r="L195" s="9">
        <v>732</v>
      </c>
      <c r="M195" s="9">
        <v>720</v>
      </c>
      <c r="N195" s="9">
        <v>734</v>
      </c>
      <c r="O195" s="29">
        <f t="shared" si="2"/>
        <v>7980</v>
      </c>
    </row>
    <row r="196" spans="1:15" ht="15" customHeight="1" x14ac:dyDescent="0.3">
      <c r="A196" s="6" t="s">
        <v>277</v>
      </c>
      <c r="B196" s="6" t="s">
        <v>278</v>
      </c>
      <c r="C196" s="9">
        <v>736</v>
      </c>
      <c r="D196" s="9">
        <v>672</v>
      </c>
      <c r="E196" s="9">
        <v>744</v>
      </c>
      <c r="F196" s="9">
        <v>719</v>
      </c>
      <c r="G196" s="9">
        <v>734</v>
      </c>
      <c r="H196" s="9">
        <v>690</v>
      </c>
      <c r="I196" s="9">
        <v>744</v>
      </c>
      <c r="J196" s="9">
        <v>744</v>
      </c>
      <c r="K196" s="9">
        <v>720</v>
      </c>
      <c r="L196" s="9">
        <v>744</v>
      </c>
      <c r="M196" s="9">
        <v>720</v>
      </c>
      <c r="N196" s="9">
        <v>729</v>
      </c>
      <c r="O196" s="29">
        <f t="shared" ref="O196:O259" si="3">SUM(C196:N196)</f>
        <v>8696</v>
      </c>
    </row>
    <row r="197" spans="1:15" ht="15" customHeight="1" x14ac:dyDescent="0.3">
      <c r="A197" s="6" t="s">
        <v>482</v>
      </c>
      <c r="B197" s="6" t="s">
        <v>367</v>
      </c>
      <c r="C197" s="9"/>
      <c r="D197" s="9"/>
      <c r="E197" s="9"/>
      <c r="F197" s="9"/>
      <c r="G197" s="9"/>
      <c r="H197" s="9">
        <v>694</v>
      </c>
      <c r="I197" s="9">
        <v>736</v>
      </c>
      <c r="J197" s="9">
        <v>698</v>
      </c>
      <c r="K197" s="9">
        <v>392</v>
      </c>
      <c r="L197" s="9"/>
      <c r="M197" s="9"/>
      <c r="N197" s="9"/>
      <c r="O197" s="29">
        <f t="shared" si="3"/>
        <v>2520</v>
      </c>
    </row>
    <row r="198" spans="1:15" ht="15" customHeight="1" x14ac:dyDescent="0.3">
      <c r="A198" s="6" t="s">
        <v>280</v>
      </c>
      <c r="B198" s="6" t="s">
        <v>275</v>
      </c>
      <c r="C198" s="9">
        <v>744</v>
      </c>
      <c r="D198" s="9">
        <v>672</v>
      </c>
      <c r="E198" s="9">
        <v>744</v>
      </c>
      <c r="F198" s="9">
        <v>720</v>
      </c>
      <c r="G198" s="9">
        <v>744</v>
      </c>
      <c r="H198" s="9">
        <v>720</v>
      </c>
      <c r="I198" s="9">
        <v>744</v>
      </c>
      <c r="J198" s="9">
        <v>744</v>
      </c>
      <c r="K198" s="9">
        <v>720</v>
      </c>
      <c r="L198" s="9">
        <v>744</v>
      </c>
      <c r="M198" s="9">
        <v>720</v>
      </c>
      <c r="N198" s="9">
        <v>744</v>
      </c>
      <c r="O198" s="29">
        <f t="shared" si="3"/>
        <v>8760</v>
      </c>
    </row>
    <row r="199" spans="1:15" ht="15" customHeight="1" x14ac:dyDescent="0.3">
      <c r="A199" s="6" t="s">
        <v>281</v>
      </c>
      <c r="B199" s="6" t="s">
        <v>123</v>
      </c>
      <c r="C199" s="9">
        <v>742</v>
      </c>
      <c r="D199" s="9">
        <v>663</v>
      </c>
      <c r="E199" s="9">
        <v>744</v>
      </c>
      <c r="F199" s="9">
        <v>714</v>
      </c>
      <c r="G199" s="9">
        <v>744</v>
      </c>
      <c r="H199" s="9">
        <v>712</v>
      </c>
      <c r="I199" s="9">
        <v>744</v>
      </c>
      <c r="J199" s="9">
        <v>737</v>
      </c>
      <c r="K199" s="9">
        <v>720</v>
      </c>
      <c r="L199" s="9">
        <v>744</v>
      </c>
      <c r="M199" s="9">
        <v>694</v>
      </c>
      <c r="N199" s="9">
        <v>663</v>
      </c>
      <c r="O199" s="29">
        <f t="shared" si="3"/>
        <v>8621</v>
      </c>
    </row>
    <row r="200" spans="1:15" ht="15" customHeight="1" x14ac:dyDescent="0.3">
      <c r="A200" s="6" t="s">
        <v>282</v>
      </c>
      <c r="B200" s="6" t="s">
        <v>266</v>
      </c>
      <c r="C200" s="9">
        <v>706</v>
      </c>
      <c r="D200" s="9">
        <v>664</v>
      </c>
      <c r="E200" s="9">
        <v>744</v>
      </c>
      <c r="F200" s="9">
        <v>720</v>
      </c>
      <c r="G200" s="9">
        <v>744</v>
      </c>
      <c r="H200" s="9">
        <v>720</v>
      </c>
      <c r="I200" s="9">
        <v>744</v>
      </c>
      <c r="J200" s="9">
        <v>744</v>
      </c>
      <c r="K200" s="9">
        <v>720</v>
      </c>
      <c r="L200" s="9">
        <v>744</v>
      </c>
      <c r="M200" s="9">
        <v>693</v>
      </c>
      <c r="N200" s="9">
        <v>744</v>
      </c>
      <c r="O200" s="29">
        <f t="shared" si="3"/>
        <v>8687</v>
      </c>
    </row>
    <row r="201" spans="1:15" ht="15" customHeight="1" x14ac:dyDescent="0.3">
      <c r="A201" s="6" t="s">
        <v>283</v>
      </c>
      <c r="B201" s="6" t="s">
        <v>217</v>
      </c>
      <c r="C201" s="9">
        <v>744</v>
      </c>
      <c r="D201" s="9">
        <v>672</v>
      </c>
      <c r="E201" s="9">
        <v>593</v>
      </c>
      <c r="F201" s="9">
        <v>620</v>
      </c>
      <c r="G201" s="9">
        <v>662</v>
      </c>
      <c r="H201" s="9">
        <v>705</v>
      </c>
      <c r="I201" s="9">
        <v>744</v>
      </c>
      <c r="J201" s="9">
        <v>744</v>
      </c>
      <c r="K201" s="9">
        <v>710</v>
      </c>
      <c r="L201" s="9">
        <v>744</v>
      </c>
      <c r="M201" s="9">
        <v>541</v>
      </c>
      <c r="N201" s="9">
        <v>744</v>
      </c>
      <c r="O201" s="29">
        <f t="shared" si="3"/>
        <v>8223</v>
      </c>
    </row>
    <row r="202" spans="1:15" ht="15" customHeight="1" x14ac:dyDescent="0.3">
      <c r="A202" s="6" t="s">
        <v>380</v>
      </c>
      <c r="B202" s="6" t="s">
        <v>266</v>
      </c>
      <c r="C202" s="9">
        <v>114</v>
      </c>
      <c r="D202" s="9">
        <v>658</v>
      </c>
      <c r="E202" s="9">
        <v>744</v>
      </c>
      <c r="F202" s="9">
        <v>720</v>
      </c>
      <c r="G202" s="9">
        <v>744</v>
      </c>
      <c r="H202" s="9">
        <v>720</v>
      </c>
      <c r="I202" s="9">
        <v>723</v>
      </c>
      <c r="J202" s="9">
        <v>744</v>
      </c>
      <c r="K202" s="9">
        <v>720</v>
      </c>
      <c r="L202" s="9">
        <v>740</v>
      </c>
      <c r="M202" s="9">
        <v>712</v>
      </c>
      <c r="N202" s="9">
        <v>726</v>
      </c>
      <c r="O202" s="29">
        <f t="shared" si="3"/>
        <v>8065</v>
      </c>
    </row>
    <row r="203" spans="1:15" ht="15" customHeight="1" x14ac:dyDescent="0.3">
      <c r="A203" s="6" t="s">
        <v>284</v>
      </c>
      <c r="B203" s="6" t="s">
        <v>135</v>
      </c>
      <c r="C203" s="9">
        <v>744</v>
      </c>
      <c r="D203" s="9">
        <v>659</v>
      </c>
      <c r="E203" s="9">
        <v>737</v>
      </c>
      <c r="F203" s="9">
        <v>692</v>
      </c>
      <c r="G203" s="9">
        <v>723</v>
      </c>
      <c r="H203" s="9">
        <v>699</v>
      </c>
      <c r="I203" s="9">
        <v>725</v>
      </c>
      <c r="J203" s="9">
        <v>735</v>
      </c>
      <c r="K203" s="9">
        <v>720</v>
      </c>
      <c r="L203" s="9">
        <v>744</v>
      </c>
      <c r="M203" s="9">
        <v>720</v>
      </c>
      <c r="N203" s="9">
        <v>744</v>
      </c>
      <c r="O203" s="29">
        <f t="shared" si="3"/>
        <v>8642</v>
      </c>
    </row>
    <row r="204" spans="1:15" ht="15" customHeight="1" x14ac:dyDescent="0.3">
      <c r="A204" s="6" t="s">
        <v>285</v>
      </c>
      <c r="B204" s="6" t="s">
        <v>286</v>
      </c>
      <c r="C204" s="9">
        <v>744</v>
      </c>
      <c r="D204" s="9">
        <v>672</v>
      </c>
      <c r="E204" s="9">
        <v>744</v>
      </c>
      <c r="F204" s="9">
        <v>720</v>
      </c>
      <c r="G204" s="9">
        <v>744</v>
      </c>
      <c r="H204" s="9">
        <v>720</v>
      </c>
      <c r="I204" s="9">
        <v>740</v>
      </c>
      <c r="J204" s="9">
        <v>741</v>
      </c>
      <c r="K204" s="9">
        <v>720</v>
      </c>
      <c r="L204" s="9">
        <v>744</v>
      </c>
      <c r="M204" s="9">
        <v>720</v>
      </c>
      <c r="N204" s="9">
        <v>744</v>
      </c>
      <c r="O204" s="29">
        <f t="shared" si="3"/>
        <v>8753</v>
      </c>
    </row>
    <row r="205" spans="1:15" ht="15" customHeight="1" x14ac:dyDescent="0.3">
      <c r="A205" s="6" t="s">
        <v>288</v>
      </c>
      <c r="B205" s="6" t="s">
        <v>289</v>
      </c>
      <c r="C205" s="9">
        <v>625</v>
      </c>
      <c r="D205" s="9">
        <v>672</v>
      </c>
      <c r="E205" s="9">
        <v>744</v>
      </c>
      <c r="F205" s="9">
        <v>720</v>
      </c>
      <c r="G205" s="9">
        <v>744</v>
      </c>
      <c r="H205" s="9">
        <v>696</v>
      </c>
      <c r="I205" s="9">
        <v>744</v>
      </c>
      <c r="J205" s="9">
        <v>744</v>
      </c>
      <c r="K205" s="9">
        <v>720</v>
      </c>
      <c r="L205" s="9">
        <v>744</v>
      </c>
      <c r="M205" s="9">
        <v>720</v>
      </c>
      <c r="N205" s="9">
        <v>727</v>
      </c>
      <c r="O205" s="29">
        <f t="shared" si="3"/>
        <v>8600</v>
      </c>
    </row>
    <row r="206" spans="1:15" ht="15" customHeight="1" x14ac:dyDescent="0.3">
      <c r="A206" s="6" t="s">
        <v>291</v>
      </c>
      <c r="B206" s="6" t="s">
        <v>292</v>
      </c>
      <c r="C206" s="9">
        <v>744</v>
      </c>
      <c r="D206" s="9">
        <v>667</v>
      </c>
      <c r="E206" s="9">
        <v>501</v>
      </c>
      <c r="F206" s="9">
        <v>471</v>
      </c>
      <c r="G206" s="9">
        <v>744</v>
      </c>
      <c r="H206" s="9">
        <v>720</v>
      </c>
      <c r="I206" s="9">
        <v>744</v>
      </c>
      <c r="J206" s="9">
        <v>741</v>
      </c>
      <c r="K206" s="9">
        <v>720</v>
      </c>
      <c r="L206" s="9">
        <v>744</v>
      </c>
      <c r="M206" s="9">
        <v>720</v>
      </c>
      <c r="N206" s="9">
        <v>744</v>
      </c>
      <c r="O206" s="29">
        <f t="shared" si="3"/>
        <v>8260</v>
      </c>
    </row>
    <row r="207" spans="1:15" ht="15" customHeight="1" x14ac:dyDescent="0.3">
      <c r="A207" s="6" t="s">
        <v>294</v>
      </c>
      <c r="B207" s="6" t="s">
        <v>68</v>
      </c>
      <c r="C207" s="9">
        <v>744</v>
      </c>
      <c r="D207" s="9">
        <v>665</v>
      </c>
      <c r="E207" s="9">
        <v>575</v>
      </c>
      <c r="F207" s="9">
        <v>408</v>
      </c>
      <c r="G207" s="9">
        <v>715</v>
      </c>
      <c r="H207" s="9">
        <v>712</v>
      </c>
      <c r="I207" s="9">
        <v>730</v>
      </c>
      <c r="J207" s="9">
        <v>744</v>
      </c>
      <c r="K207" s="9">
        <v>720</v>
      </c>
      <c r="L207" s="9">
        <v>744</v>
      </c>
      <c r="M207" s="9">
        <v>720</v>
      </c>
      <c r="N207" s="9">
        <v>744</v>
      </c>
      <c r="O207" s="29">
        <f t="shared" si="3"/>
        <v>8221</v>
      </c>
    </row>
    <row r="208" spans="1:15" ht="15" customHeight="1" x14ac:dyDescent="0.3">
      <c r="A208" s="6" t="s">
        <v>295</v>
      </c>
      <c r="B208" s="6" t="s">
        <v>296</v>
      </c>
      <c r="C208" s="9">
        <v>738</v>
      </c>
      <c r="D208" s="9">
        <v>672</v>
      </c>
      <c r="E208" s="9">
        <v>744</v>
      </c>
      <c r="F208" s="9">
        <v>720</v>
      </c>
      <c r="G208" s="9">
        <v>744</v>
      </c>
      <c r="H208" s="9">
        <v>432</v>
      </c>
      <c r="I208" s="9">
        <v>744</v>
      </c>
      <c r="J208" s="9">
        <v>744</v>
      </c>
      <c r="K208" s="9">
        <v>720</v>
      </c>
      <c r="L208" s="9">
        <v>744</v>
      </c>
      <c r="M208" s="9">
        <v>720</v>
      </c>
      <c r="N208" s="9">
        <v>744</v>
      </c>
      <c r="O208" s="29">
        <f t="shared" si="3"/>
        <v>8466</v>
      </c>
    </row>
    <row r="209" spans="1:15" ht="15" customHeight="1" x14ac:dyDescent="0.3">
      <c r="A209" s="6" t="s">
        <v>298</v>
      </c>
      <c r="B209" s="6" t="s">
        <v>299</v>
      </c>
      <c r="C209" s="9">
        <v>744</v>
      </c>
      <c r="D209" s="9">
        <v>672</v>
      </c>
      <c r="E209" s="9">
        <v>622</v>
      </c>
      <c r="F209" s="9">
        <v>491</v>
      </c>
      <c r="G209" s="9">
        <v>453</v>
      </c>
      <c r="H209" s="9">
        <v>586</v>
      </c>
      <c r="I209" s="9">
        <v>744</v>
      </c>
      <c r="J209" s="9">
        <v>715</v>
      </c>
      <c r="K209" s="9">
        <v>720</v>
      </c>
      <c r="L209" s="9">
        <v>720</v>
      </c>
      <c r="M209" s="9">
        <v>720</v>
      </c>
      <c r="N209" s="9">
        <v>696</v>
      </c>
      <c r="O209" s="29">
        <f t="shared" si="3"/>
        <v>7883</v>
      </c>
    </row>
    <row r="210" spans="1:15" ht="15" customHeight="1" x14ac:dyDescent="0.3">
      <c r="A210" s="6" t="s">
        <v>301</v>
      </c>
      <c r="B210" s="6" t="s">
        <v>302</v>
      </c>
      <c r="C210" s="9">
        <v>238</v>
      </c>
      <c r="D210" s="9">
        <v>624</v>
      </c>
      <c r="E210" s="9">
        <v>743</v>
      </c>
      <c r="F210" s="9">
        <v>720</v>
      </c>
      <c r="G210" s="9">
        <v>744</v>
      </c>
      <c r="H210" s="9">
        <v>612</v>
      </c>
      <c r="I210" s="9">
        <v>744</v>
      </c>
      <c r="J210" s="9">
        <v>744</v>
      </c>
      <c r="K210" s="9">
        <v>700</v>
      </c>
      <c r="L210" s="9">
        <v>696</v>
      </c>
      <c r="M210" s="9">
        <v>684</v>
      </c>
      <c r="N210" s="9">
        <v>688</v>
      </c>
      <c r="O210" s="29">
        <f t="shared" si="3"/>
        <v>7937</v>
      </c>
    </row>
    <row r="211" spans="1:15" ht="15" customHeight="1" x14ac:dyDescent="0.3">
      <c r="A211" s="6" t="s">
        <v>304</v>
      </c>
      <c r="B211" s="6" t="s">
        <v>235</v>
      </c>
      <c r="C211" s="9">
        <v>744</v>
      </c>
      <c r="D211" s="9">
        <v>672</v>
      </c>
      <c r="E211" s="9">
        <v>740</v>
      </c>
      <c r="F211" s="9">
        <v>711</v>
      </c>
      <c r="G211" s="9">
        <v>732</v>
      </c>
      <c r="H211" s="9">
        <v>714</v>
      </c>
      <c r="I211" s="9">
        <v>744</v>
      </c>
      <c r="J211" s="9">
        <v>743</v>
      </c>
      <c r="K211" s="9">
        <v>711</v>
      </c>
      <c r="L211" s="9">
        <v>744</v>
      </c>
      <c r="M211" s="9">
        <v>720</v>
      </c>
      <c r="N211" s="9">
        <v>744</v>
      </c>
      <c r="O211" s="29">
        <f t="shared" si="3"/>
        <v>8719</v>
      </c>
    </row>
    <row r="212" spans="1:15" ht="15" customHeight="1" x14ac:dyDescent="0.3">
      <c r="A212" s="6" t="s">
        <v>305</v>
      </c>
      <c r="B212" s="6" t="s">
        <v>185</v>
      </c>
      <c r="C212" s="9">
        <v>744</v>
      </c>
      <c r="D212" s="9">
        <v>672</v>
      </c>
      <c r="E212" s="9">
        <v>744</v>
      </c>
      <c r="F212" s="9">
        <v>720</v>
      </c>
      <c r="G212" s="9">
        <v>741</v>
      </c>
      <c r="H212" s="9">
        <v>720</v>
      </c>
      <c r="I212" s="9">
        <v>744</v>
      </c>
      <c r="J212" s="9">
        <v>744</v>
      </c>
      <c r="K212" s="9">
        <v>720</v>
      </c>
      <c r="L212" s="9">
        <v>744</v>
      </c>
      <c r="M212" s="9">
        <v>720</v>
      </c>
      <c r="N212" s="9">
        <v>744</v>
      </c>
      <c r="O212" s="29">
        <f t="shared" si="3"/>
        <v>8757</v>
      </c>
    </row>
    <row r="213" spans="1:15" ht="15" customHeight="1" x14ac:dyDescent="0.3">
      <c r="A213" s="6" t="s">
        <v>306</v>
      </c>
      <c r="B213" s="6" t="s">
        <v>307</v>
      </c>
      <c r="C213" s="9">
        <v>744</v>
      </c>
      <c r="D213" s="9">
        <v>672</v>
      </c>
      <c r="E213" s="9">
        <v>744</v>
      </c>
      <c r="F213" s="9">
        <v>719</v>
      </c>
      <c r="G213" s="9">
        <v>726</v>
      </c>
      <c r="H213" s="9">
        <v>718</v>
      </c>
      <c r="I213" s="9">
        <v>744</v>
      </c>
      <c r="J213" s="9">
        <v>740</v>
      </c>
      <c r="K213" s="9">
        <v>720</v>
      </c>
      <c r="L213" s="9">
        <v>672</v>
      </c>
      <c r="M213" s="9">
        <v>720</v>
      </c>
      <c r="N213" s="9">
        <v>744</v>
      </c>
      <c r="O213" s="29">
        <f t="shared" si="3"/>
        <v>8663</v>
      </c>
    </row>
    <row r="214" spans="1:15" ht="15" customHeight="1" x14ac:dyDescent="0.3">
      <c r="A214" s="6" t="s">
        <v>381</v>
      </c>
      <c r="B214" s="6" t="s">
        <v>68</v>
      </c>
      <c r="C214" s="9">
        <v>72</v>
      </c>
      <c r="D214" s="9">
        <v>642</v>
      </c>
      <c r="E214" s="9">
        <v>683</v>
      </c>
      <c r="F214" s="9">
        <v>474</v>
      </c>
      <c r="G214" s="9">
        <v>460</v>
      </c>
      <c r="H214" s="9">
        <v>603</v>
      </c>
      <c r="I214" s="9">
        <v>626</v>
      </c>
      <c r="J214" s="9">
        <v>744</v>
      </c>
      <c r="K214" s="9">
        <v>720</v>
      </c>
      <c r="L214" s="9">
        <v>744</v>
      </c>
      <c r="M214" s="9">
        <v>720</v>
      </c>
      <c r="N214" s="9">
        <v>744</v>
      </c>
      <c r="O214" s="29">
        <f t="shared" si="3"/>
        <v>7232</v>
      </c>
    </row>
    <row r="215" spans="1:15" ht="15" customHeight="1" x14ac:dyDescent="0.3">
      <c r="A215" s="6" t="s">
        <v>309</v>
      </c>
      <c r="B215" s="6" t="s">
        <v>185</v>
      </c>
      <c r="C215" s="9">
        <v>744</v>
      </c>
      <c r="D215" s="9">
        <v>672</v>
      </c>
      <c r="E215" s="9">
        <v>725</v>
      </c>
      <c r="F215" s="9">
        <v>720</v>
      </c>
      <c r="G215" s="9">
        <v>741</v>
      </c>
      <c r="H215" s="9">
        <v>696</v>
      </c>
      <c r="I215" s="9">
        <v>744</v>
      </c>
      <c r="J215" s="9">
        <v>744</v>
      </c>
      <c r="K215" s="9">
        <v>720</v>
      </c>
      <c r="L215" s="9">
        <v>739</v>
      </c>
      <c r="M215" s="9">
        <v>720</v>
      </c>
      <c r="N215" s="9">
        <v>744</v>
      </c>
      <c r="O215" s="29">
        <f t="shared" si="3"/>
        <v>8709</v>
      </c>
    </row>
    <row r="216" spans="1:15" ht="15" customHeight="1" x14ac:dyDescent="0.3">
      <c r="A216" s="6" t="s">
        <v>310</v>
      </c>
      <c r="B216" s="6" t="s">
        <v>311</v>
      </c>
      <c r="C216" s="9">
        <v>741</v>
      </c>
      <c r="D216" s="9">
        <v>672</v>
      </c>
      <c r="E216" s="9">
        <v>743</v>
      </c>
      <c r="F216" s="9">
        <v>718</v>
      </c>
      <c r="G216" s="9">
        <v>743</v>
      </c>
      <c r="H216" s="9">
        <v>719</v>
      </c>
      <c r="I216" s="9">
        <v>744</v>
      </c>
      <c r="J216" s="9">
        <v>744</v>
      </c>
      <c r="K216" s="9">
        <v>720</v>
      </c>
      <c r="L216" s="9">
        <v>744</v>
      </c>
      <c r="M216" s="9">
        <v>720</v>
      </c>
      <c r="N216" s="9">
        <v>744</v>
      </c>
      <c r="O216" s="29">
        <f t="shared" si="3"/>
        <v>8752</v>
      </c>
    </row>
    <row r="217" spans="1:15" ht="15" customHeight="1" x14ac:dyDescent="0.3">
      <c r="A217" s="6" t="s">
        <v>382</v>
      </c>
      <c r="B217" s="6" t="s">
        <v>315</v>
      </c>
      <c r="C217" s="9">
        <v>115</v>
      </c>
      <c r="D217" s="9">
        <v>658</v>
      </c>
      <c r="E217" s="9">
        <v>744</v>
      </c>
      <c r="F217" s="9">
        <v>720</v>
      </c>
      <c r="G217" s="9">
        <v>706</v>
      </c>
      <c r="H217" s="9">
        <v>720</v>
      </c>
      <c r="I217" s="9">
        <v>744</v>
      </c>
      <c r="J217" s="9">
        <v>726</v>
      </c>
      <c r="K217" s="9">
        <v>720</v>
      </c>
      <c r="L217" s="9">
        <v>744</v>
      </c>
      <c r="M217" s="9">
        <v>720</v>
      </c>
      <c r="N217" s="9">
        <v>744</v>
      </c>
      <c r="O217" s="29">
        <f t="shared" si="3"/>
        <v>8061</v>
      </c>
    </row>
    <row r="218" spans="1:15" ht="15" customHeight="1" x14ac:dyDescent="0.3">
      <c r="A218" s="6" t="s">
        <v>313</v>
      </c>
      <c r="B218" s="6" t="s">
        <v>89</v>
      </c>
      <c r="C218" s="9">
        <v>744</v>
      </c>
      <c r="D218" s="9">
        <v>672</v>
      </c>
      <c r="E218" s="9">
        <v>744</v>
      </c>
      <c r="F218" s="9">
        <v>461</v>
      </c>
      <c r="G218" s="9">
        <v>657</v>
      </c>
      <c r="H218" s="9">
        <v>694</v>
      </c>
      <c r="I218" s="9">
        <v>733</v>
      </c>
      <c r="J218" s="9">
        <v>744</v>
      </c>
      <c r="K218" s="9">
        <v>720</v>
      </c>
      <c r="L218" s="9">
        <v>744</v>
      </c>
      <c r="M218" s="9">
        <v>720</v>
      </c>
      <c r="N218" s="9">
        <v>744</v>
      </c>
      <c r="O218" s="29">
        <f t="shared" si="3"/>
        <v>8377</v>
      </c>
    </row>
    <row r="219" spans="1:15" ht="15" customHeight="1" x14ac:dyDescent="0.3">
      <c r="A219" s="6" t="s">
        <v>314</v>
      </c>
      <c r="B219" s="6" t="s">
        <v>315</v>
      </c>
      <c r="C219" s="9">
        <v>744</v>
      </c>
      <c r="D219" s="9">
        <v>658</v>
      </c>
      <c r="E219" s="9">
        <v>744</v>
      </c>
      <c r="F219" s="9">
        <v>709</v>
      </c>
      <c r="G219" s="9">
        <v>744</v>
      </c>
      <c r="H219" s="9">
        <v>720</v>
      </c>
      <c r="I219" s="9">
        <v>665</v>
      </c>
      <c r="J219" s="9">
        <v>616</v>
      </c>
      <c r="K219" s="9">
        <v>720</v>
      </c>
      <c r="L219" s="9">
        <v>744</v>
      </c>
      <c r="M219" s="9">
        <v>720</v>
      </c>
      <c r="N219" s="9">
        <v>744</v>
      </c>
      <c r="O219" s="29">
        <f t="shared" si="3"/>
        <v>8528</v>
      </c>
    </row>
    <row r="220" spans="1:15" ht="15" customHeight="1" x14ac:dyDescent="0.3">
      <c r="A220" s="6" t="s">
        <v>317</v>
      </c>
      <c r="B220" s="6" t="s">
        <v>225</v>
      </c>
      <c r="C220" s="9">
        <v>722</v>
      </c>
      <c r="D220" s="9">
        <v>672</v>
      </c>
      <c r="E220" s="9">
        <v>726</v>
      </c>
      <c r="F220" s="9">
        <v>720</v>
      </c>
      <c r="G220" s="9">
        <v>744</v>
      </c>
      <c r="H220" s="9">
        <v>715</v>
      </c>
      <c r="I220" s="9">
        <v>736</v>
      </c>
      <c r="J220" s="9">
        <v>744</v>
      </c>
      <c r="K220" s="9">
        <v>720</v>
      </c>
      <c r="L220" s="9">
        <v>699</v>
      </c>
      <c r="M220" s="9">
        <v>720</v>
      </c>
      <c r="N220" s="9">
        <v>744</v>
      </c>
      <c r="O220" s="29">
        <f t="shared" si="3"/>
        <v>8662</v>
      </c>
    </row>
    <row r="221" spans="1:15" ht="15" customHeight="1" x14ac:dyDescent="0.3">
      <c r="A221" s="6" t="s">
        <v>318</v>
      </c>
      <c r="B221" s="6" t="s">
        <v>95</v>
      </c>
      <c r="C221" s="9">
        <v>744</v>
      </c>
      <c r="D221" s="9">
        <v>672</v>
      </c>
      <c r="E221" s="9">
        <v>313</v>
      </c>
      <c r="F221" s="9">
        <v>528</v>
      </c>
      <c r="G221" s="9">
        <v>744</v>
      </c>
      <c r="H221" s="9">
        <v>720</v>
      </c>
      <c r="I221" s="9">
        <v>743</v>
      </c>
      <c r="J221" s="9">
        <v>743</v>
      </c>
      <c r="K221" s="9">
        <v>720</v>
      </c>
      <c r="L221" s="9">
        <v>744</v>
      </c>
      <c r="M221" s="9">
        <v>720</v>
      </c>
      <c r="N221" s="9">
        <v>744</v>
      </c>
      <c r="O221" s="29">
        <f t="shared" si="3"/>
        <v>8135</v>
      </c>
    </row>
    <row r="222" spans="1:15" ht="15" customHeight="1" x14ac:dyDescent="0.3">
      <c r="A222" s="6" t="s">
        <v>319</v>
      </c>
      <c r="B222" s="6" t="s">
        <v>315</v>
      </c>
      <c r="C222" s="9">
        <v>744</v>
      </c>
      <c r="D222" s="9">
        <v>652</v>
      </c>
      <c r="E222" s="9">
        <v>732</v>
      </c>
      <c r="F222" s="9">
        <v>720</v>
      </c>
      <c r="G222" s="9">
        <v>744</v>
      </c>
      <c r="H222" s="9">
        <v>720</v>
      </c>
      <c r="I222" s="9">
        <v>744</v>
      </c>
      <c r="J222" s="9">
        <v>744</v>
      </c>
      <c r="K222" s="9">
        <v>720</v>
      </c>
      <c r="L222" s="9">
        <v>744</v>
      </c>
      <c r="M222" s="9">
        <v>720</v>
      </c>
      <c r="N222" s="9">
        <v>744</v>
      </c>
      <c r="O222" s="29">
        <f t="shared" si="3"/>
        <v>8728</v>
      </c>
    </row>
    <row r="223" spans="1:15" ht="15" customHeight="1" x14ac:dyDescent="0.3">
      <c r="A223" s="6" t="s">
        <v>320</v>
      </c>
      <c r="B223" s="6" t="s">
        <v>159</v>
      </c>
      <c r="C223" s="9">
        <v>674</v>
      </c>
      <c r="D223" s="9">
        <v>640</v>
      </c>
      <c r="E223" s="9">
        <v>737</v>
      </c>
      <c r="F223" s="9">
        <v>720</v>
      </c>
      <c r="G223" s="9">
        <v>744</v>
      </c>
      <c r="H223" s="9">
        <v>704</v>
      </c>
      <c r="I223" s="9">
        <v>712</v>
      </c>
      <c r="J223" s="9">
        <v>744</v>
      </c>
      <c r="K223" s="9">
        <v>720</v>
      </c>
      <c r="L223" s="9">
        <v>744</v>
      </c>
      <c r="M223" s="9">
        <v>720</v>
      </c>
      <c r="N223" s="9">
        <v>744</v>
      </c>
      <c r="O223" s="29">
        <f t="shared" si="3"/>
        <v>8603</v>
      </c>
    </row>
    <row r="224" spans="1:15" ht="15" customHeight="1" x14ac:dyDescent="0.3">
      <c r="A224" s="6" t="s">
        <v>410</v>
      </c>
      <c r="B224" s="6" t="s">
        <v>55</v>
      </c>
      <c r="C224" s="9">
        <v>240</v>
      </c>
      <c r="D224" s="9">
        <v>428</v>
      </c>
      <c r="E224" s="9">
        <v>740</v>
      </c>
      <c r="F224" s="9">
        <v>570</v>
      </c>
      <c r="G224" s="9">
        <v>708</v>
      </c>
      <c r="H224" s="9">
        <v>267</v>
      </c>
      <c r="I224" s="9"/>
      <c r="J224" s="9"/>
      <c r="K224" s="9"/>
      <c r="L224" s="9">
        <v>668</v>
      </c>
      <c r="M224" s="9">
        <v>720</v>
      </c>
      <c r="N224" s="9">
        <v>744</v>
      </c>
      <c r="O224" s="29">
        <f t="shared" si="3"/>
        <v>5085</v>
      </c>
    </row>
    <row r="225" spans="1:15" ht="15" customHeight="1" x14ac:dyDescent="0.3">
      <c r="A225" s="6" t="s">
        <v>321</v>
      </c>
      <c r="B225" s="6" t="s">
        <v>322</v>
      </c>
      <c r="C225" s="9">
        <v>744</v>
      </c>
      <c r="D225" s="9">
        <v>672</v>
      </c>
      <c r="E225" s="9">
        <v>742</v>
      </c>
      <c r="F225" s="9">
        <v>718</v>
      </c>
      <c r="G225" s="9">
        <v>743</v>
      </c>
      <c r="H225" s="9">
        <v>719</v>
      </c>
      <c r="I225" s="9">
        <v>744</v>
      </c>
      <c r="J225" s="9">
        <v>744</v>
      </c>
      <c r="K225" s="9">
        <v>720</v>
      </c>
      <c r="L225" s="9">
        <v>744</v>
      </c>
      <c r="M225" s="9">
        <v>720</v>
      </c>
      <c r="N225" s="9">
        <v>744</v>
      </c>
      <c r="O225" s="29">
        <f t="shared" si="3"/>
        <v>8754</v>
      </c>
    </row>
    <row r="226" spans="1:15" ht="15" customHeight="1" x14ac:dyDescent="0.3">
      <c r="A226" s="6" t="s">
        <v>324</v>
      </c>
      <c r="B226" s="6" t="s">
        <v>325</v>
      </c>
      <c r="C226" s="9">
        <v>744</v>
      </c>
      <c r="D226" s="9">
        <v>672</v>
      </c>
      <c r="E226" s="9">
        <v>739</v>
      </c>
      <c r="F226" s="9">
        <v>714</v>
      </c>
      <c r="G226" s="9">
        <v>728</v>
      </c>
      <c r="H226" s="9">
        <v>685</v>
      </c>
      <c r="I226" s="9">
        <v>744</v>
      </c>
      <c r="J226" s="9">
        <v>734</v>
      </c>
      <c r="K226" s="9">
        <v>714</v>
      </c>
      <c r="L226" s="9">
        <v>744</v>
      </c>
      <c r="M226" s="9">
        <v>720</v>
      </c>
      <c r="N226" s="9">
        <v>744</v>
      </c>
      <c r="O226" s="29">
        <f t="shared" si="3"/>
        <v>8682</v>
      </c>
    </row>
    <row r="227" spans="1:15" ht="15" customHeight="1" x14ac:dyDescent="0.3">
      <c r="A227" s="6" t="s">
        <v>412</v>
      </c>
      <c r="B227" s="6" t="s">
        <v>275</v>
      </c>
      <c r="C227" s="9">
        <v>744</v>
      </c>
      <c r="D227" s="9">
        <v>648</v>
      </c>
      <c r="E227" s="9">
        <v>448</v>
      </c>
      <c r="F227" s="9">
        <v>86</v>
      </c>
      <c r="G227" s="9">
        <v>98</v>
      </c>
      <c r="H227" s="9">
        <v>399</v>
      </c>
      <c r="I227" s="9">
        <v>744</v>
      </c>
      <c r="J227" s="9">
        <v>696</v>
      </c>
      <c r="K227" s="9">
        <v>720</v>
      </c>
      <c r="L227" s="9">
        <v>744</v>
      </c>
      <c r="M227" s="9">
        <v>720</v>
      </c>
      <c r="N227" s="9">
        <v>720</v>
      </c>
      <c r="O227" s="29">
        <f t="shared" si="3"/>
        <v>6767</v>
      </c>
    </row>
    <row r="228" spans="1:15" ht="15" customHeight="1" x14ac:dyDescent="0.3">
      <c r="A228" s="6" t="s">
        <v>327</v>
      </c>
      <c r="B228" s="6" t="s">
        <v>85</v>
      </c>
      <c r="C228" s="9">
        <v>652</v>
      </c>
      <c r="D228" s="9">
        <v>672</v>
      </c>
      <c r="E228" s="9">
        <v>734</v>
      </c>
      <c r="F228" s="9">
        <v>717</v>
      </c>
      <c r="G228" s="9">
        <v>744</v>
      </c>
      <c r="H228" s="9">
        <v>613</v>
      </c>
      <c r="I228" s="9">
        <v>680</v>
      </c>
      <c r="J228" s="9">
        <v>689</v>
      </c>
      <c r="K228" s="9">
        <v>695</v>
      </c>
      <c r="L228" s="9">
        <v>706</v>
      </c>
      <c r="M228" s="9">
        <v>720</v>
      </c>
      <c r="N228" s="9">
        <v>714</v>
      </c>
      <c r="O228" s="29">
        <f t="shared" si="3"/>
        <v>8336</v>
      </c>
    </row>
    <row r="229" spans="1:15" ht="15" customHeight="1" x14ac:dyDescent="0.3">
      <c r="A229" s="6" t="s">
        <v>328</v>
      </c>
      <c r="B229" s="6" t="s">
        <v>85</v>
      </c>
      <c r="C229" s="9">
        <v>744</v>
      </c>
      <c r="D229" s="9">
        <v>672</v>
      </c>
      <c r="E229" s="9">
        <v>734</v>
      </c>
      <c r="F229" s="9">
        <v>717</v>
      </c>
      <c r="G229" s="9">
        <v>720</v>
      </c>
      <c r="H229" s="9">
        <v>706</v>
      </c>
      <c r="I229" s="9">
        <v>706</v>
      </c>
      <c r="J229" s="9">
        <v>741</v>
      </c>
      <c r="K229" s="9">
        <v>720</v>
      </c>
      <c r="L229" s="9">
        <v>742</v>
      </c>
      <c r="M229" s="9">
        <v>720</v>
      </c>
      <c r="N229" s="9">
        <v>743</v>
      </c>
      <c r="O229" s="29">
        <f t="shared" si="3"/>
        <v>8665</v>
      </c>
    </row>
    <row r="230" spans="1:15" ht="15" customHeight="1" x14ac:dyDescent="0.3">
      <c r="A230" s="6" t="s">
        <v>329</v>
      </c>
      <c r="B230" s="6" t="s">
        <v>80</v>
      </c>
      <c r="C230" s="9">
        <v>744</v>
      </c>
      <c r="D230" s="9">
        <v>672</v>
      </c>
      <c r="E230" s="9">
        <v>677</v>
      </c>
      <c r="F230" s="9">
        <v>337</v>
      </c>
      <c r="G230" s="9">
        <v>454</v>
      </c>
      <c r="H230" s="9">
        <v>687</v>
      </c>
      <c r="I230" s="9">
        <v>744</v>
      </c>
      <c r="J230" s="9">
        <v>744</v>
      </c>
      <c r="K230" s="9">
        <v>720</v>
      </c>
      <c r="L230" s="9">
        <v>744</v>
      </c>
      <c r="M230" s="9">
        <v>720</v>
      </c>
      <c r="N230" s="9">
        <v>744</v>
      </c>
      <c r="O230" s="29">
        <f t="shared" si="3"/>
        <v>7987</v>
      </c>
    </row>
    <row r="231" spans="1:15" ht="15" customHeight="1" x14ac:dyDescent="0.3">
      <c r="A231" s="6" t="s">
        <v>330</v>
      </c>
      <c r="B231" s="6" t="s">
        <v>85</v>
      </c>
      <c r="C231" s="9">
        <v>744</v>
      </c>
      <c r="D231" s="9">
        <v>660</v>
      </c>
      <c r="E231" s="9">
        <v>734</v>
      </c>
      <c r="F231" s="9">
        <v>717</v>
      </c>
      <c r="G231" s="9">
        <v>732</v>
      </c>
      <c r="H231" s="9">
        <v>706</v>
      </c>
      <c r="I231" s="9">
        <v>698</v>
      </c>
      <c r="J231" s="9">
        <v>741</v>
      </c>
      <c r="K231" s="9">
        <v>683</v>
      </c>
      <c r="L231" s="9">
        <v>708</v>
      </c>
      <c r="M231" s="9">
        <v>720</v>
      </c>
      <c r="N231" s="9">
        <v>744</v>
      </c>
      <c r="O231" s="29">
        <f t="shared" si="3"/>
        <v>8587</v>
      </c>
    </row>
    <row r="232" spans="1:15" ht="15" customHeight="1" x14ac:dyDescent="0.3">
      <c r="A232" s="6" t="s">
        <v>415</v>
      </c>
      <c r="B232" s="6" t="s">
        <v>263</v>
      </c>
      <c r="C232" s="9">
        <v>744</v>
      </c>
      <c r="D232" s="9">
        <v>672</v>
      </c>
      <c r="E232" s="9">
        <v>744</v>
      </c>
      <c r="F232" s="9">
        <v>366</v>
      </c>
      <c r="G232" s="9"/>
      <c r="H232" s="9">
        <v>432</v>
      </c>
      <c r="I232" s="9">
        <v>744</v>
      </c>
      <c r="J232" s="9">
        <v>744</v>
      </c>
      <c r="K232" s="9">
        <v>720</v>
      </c>
      <c r="L232" s="9">
        <v>744</v>
      </c>
      <c r="M232" s="9">
        <v>720</v>
      </c>
      <c r="N232" s="9">
        <v>744</v>
      </c>
      <c r="O232" s="29">
        <f t="shared" si="3"/>
        <v>7374</v>
      </c>
    </row>
    <row r="233" spans="1:15" ht="15" customHeight="1" x14ac:dyDescent="0.3">
      <c r="A233" s="6" t="s">
        <v>331</v>
      </c>
      <c r="B233" s="6" t="s">
        <v>292</v>
      </c>
      <c r="C233" s="9">
        <v>733</v>
      </c>
      <c r="D233" s="9">
        <v>639</v>
      </c>
      <c r="E233" s="9">
        <v>737</v>
      </c>
      <c r="F233" s="9">
        <v>697</v>
      </c>
      <c r="G233" s="9">
        <v>733</v>
      </c>
      <c r="H233" s="9">
        <v>712</v>
      </c>
      <c r="I233" s="9">
        <v>737</v>
      </c>
      <c r="J233" s="9">
        <v>665</v>
      </c>
      <c r="K233" s="9">
        <v>720</v>
      </c>
      <c r="L233" s="9">
        <v>624</v>
      </c>
      <c r="M233" s="9">
        <v>720</v>
      </c>
      <c r="N233" s="9">
        <v>744</v>
      </c>
      <c r="O233" s="29">
        <f t="shared" si="3"/>
        <v>8461</v>
      </c>
    </row>
    <row r="234" spans="1:15" ht="15" customHeight="1" x14ac:dyDescent="0.3">
      <c r="A234" s="6" t="s">
        <v>332</v>
      </c>
      <c r="B234" s="6" t="s">
        <v>85</v>
      </c>
      <c r="C234" s="9">
        <v>356</v>
      </c>
      <c r="D234" s="9">
        <v>660</v>
      </c>
      <c r="E234" s="9">
        <v>734</v>
      </c>
      <c r="F234" s="9">
        <v>708</v>
      </c>
      <c r="G234" s="9">
        <v>600</v>
      </c>
      <c r="H234" s="9">
        <v>625</v>
      </c>
      <c r="I234" s="9">
        <v>665</v>
      </c>
      <c r="J234" s="9">
        <v>720</v>
      </c>
      <c r="K234" s="9">
        <v>644</v>
      </c>
      <c r="L234" s="9">
        <v>742</v>
      </c>
      <c r="M234" s="9">
        <v>720</v>
      </c>
      <c r="N234" s="9">
        <v>678</v>
      </c>
      <c r="O234" s="29">
        <f t="shared" si="3"/>
        <v>7852</v>
      </c>
    </row>
    <row r="235" spans="1:15" ht="15" customHeight="1" x14ac:dyDescent="0.3">
      <c r="A235" s="6" t="s">
        <v>333</v>
      </c>
      <c r="B235" s="6" t="s">
        <v>173</v>
      </c>
      <c r="C235" s="9">
        <v>734</v>
      </c>
      <c r="D235" s="9">
        <v>672</v>
      </c>
      <c r="E235" s="9">
        <v>744</v>
      </c>
      <c r="F235" s="9">
        <v>720</v>
      </c>
      <c r="G235" s="9">
        <v>744</v>
      </c>
      <c r="H235" s="9">
        <v>718</v>
      </c>
      <c r="I235" s="9">
        <v>740</v>
      </c>
      <c r="J235" s="9">
        <v>663</v>
      </c>
      <c r="K235" s="9">
        <v>290</v>
      </c>
      <c r="L235" s="9">
        <v>744</v>
      </c>
      <c r="M235" s="9">
        <v>692</v>
      </c>
      <c r="N235" s="9">
        <v>450</v>
      </c>
      <c r="O235" s="29">
        <f t="shared" si="3"/>
        <v>7911</v>
      </c>
    </row>
    <row r="236" spans="1:15" ht="15" customHeight="1" x14ac:dyDescent="0.3">
      <c r="A236" s="6" t="s">
        <v>417</v>
      </c>
      <c r="B236" s="6" t="s">
        <v>278</v>
      </c>
      <c r="C236" s="9">
        <v>744</v>
      </c>
      <c r="D236" s="9">
        <v>672</v>
      </c>
      <c r="E236" s="9">
        <v>744</v>
      </c>
      <c r="F236" s="9">
        <v>558</v>
      </c>
      <c r="G236" s="9"/>
      <c r="H236" s="9"/>
      <c r="I236" s="9">
        <v>312</v>
      </c>
      <c r="J236" s="9">
        <v>738</v>
      </c>
      <c r="K236" s="9">
        <v>720</v>
      </c>
      <c r="L236" s="9">
        <v>744</v>
      </c>
      <c r="M236" s="9">
        <v>720</v>
      </c>
      <c r="N236" s="9">
        <v>729</v>
      </c>
      <c r="O236" s="29">
        <f t="shared" si="3"/>
        <v>6681</v>
      </c>
    </row>
    <row r="237" spans="1:15" ht="15" customHeight="1" x14ac:dyDescent="0.3">
      <c r="A237" s="6" t="s">
        <v>334</v>
      </c>
      <c r="B237" s="6" t="s">
        <v>278</v>
      </c>
      <c r="C237" s="9">
        <v>738</v>
      </c>
      <c r="D237" s="9">
        <v>672</v>
      </c>
      <c r="E237" s="9">
        <v>744</v>
      </c>
      <c r="F237" s="9">
        <v>719</v>
      </c>
      <c r="G237" s="9">
        <v>741</v>
      </c>
      <c r="H237" s="9">
        <v>720</v>
      </c>
      <c r="I237" s="9">
        <v>744</v>
      </c>
      <c r="J237" s="9">
        <v>743</v>
      </c>
      <c r="K237" s="9">
        <v>720</v>
      </c>
      <c r="L237" s="9">
        <v>744</v>
      </c>
      <c r="M237" s="9">
        <v>720</v>
      </c>
      <c r="N237" s="9">
        <v>729</v>
      </c>
      <c r="O237" s="29">
        <f t="shared" si="3"/>
        <v>8734</v>
      </c>
    </row>
    <row r="238" spans="1:15" ht="15" customHeight="1" x14ac:dyDescent="0.3">
      <c r="A238" s="6" t="s">
        <v>483</v>
      </c>
      <c r="B238" s="6" t="s">
        <v>348</v>
      </c>
      <c r="C238" s="9">
        <v>737</v>
      </c>
      <c r="D238" s="9">
        <v>658</v>
      </c>
      <c r="E238" s="9">
        <v>744</v>
      </c>
      <c r="F238" s="9">
        <v>720</v>
      </c>
      <c r="G238" s="9">
        <v>744</v>
      </c>
      <c r="H238" s="9">
        <v>720</v>
      </c>
      <c r="I238" s="9">
        <v>744</v>
      </c>
      <c r="J238" s="9">
        <v>744</v>
      </c>
      <c r="K238" s="9">
        <v>720</v>
      </c>
      <c r="L238" s="9">
        <v>744</v>
      </c>
      <c r="M238" s="9">
        <v>408</v>
      </c>
      <c r="N238" s="9"/>
      <c r="O238" s="29">
        <f t="shared" si="3"/>
        <v>7683</v>
      </c>
    </row>
    <row r="239" spans="1:15" ht="15" customHeight="1" x14ac:dyDescent="0.3">
      <c r="A239" s="6" t="s">
        <v>419</v>
      </c>
      <c r="B239" s="6" t="s">
        <v>322</v>
      </c>
      <c r="C239" s="9">
        <v>35</v>
      </c>
      <c r="D239" s="9">
        <v>624</v>
      </c>
      <c r="E239" s="9">
        <v>76</v>
      </c>
      <c r="F239" s="9">
        <v>469</v>
      </c>
      <c r="G239" s="9">
        <v>725</v>
      </c>
      <c r="H239" s="9">
        <v>715</v>
      </c>
      <c r="I239" s="9">
        <v>744</v>
      </c>
      <c r="J239" s="9">
        <v>744</v>
      </c>
      <c r="K239" s="9">
        <v>720</v>
      </c>
      <c r="L239" s="9">
        <v>744</v>
      </c>
      <c r="M239" s="9">
        <v>720</v>
      </c>
      <c r="N239" s="9">
        <v>744</v>
      </c>
      <c r="O239" s="29">
        <f t="shared" si="3"/>
        <v>7060</v>
      </c>
    </row>
    <row r="240" spans="1:15" ht="15" customHeight="1" x14ac:dyDescent="0.3">
      <c r="A240" s="6" t="s">
        <v>484</v>
      </c>
      <c r="B240" s="6" t="s">
        <v>485</v>
      </c>
      <c r="C240" s="9"/>
      <c r="D240" s="9">
        <v>516</v>
      </c>
      <c r="E240" s="9">
        <v>336</v>
      </c>
      <c r="F240" s="9"/>
      <c r="G240" s="9"/>
      <c r="H240" s="9"/>
      <c r="I240" s="9"/>
      <c r="J240" s="9"/>
      <c r="K240" s="9"/>
      <c r="L240" s="9"/>
      <c r="M240" s="9"/>
      <c r="N240" s="9"/>
      <c r="O240" s="29">
        <f t="shared" si="3"/>
        <v>852</v>
      </c>
    </row>
    <row r="241" spans="1:15" ht="15" customHeight="1" x14ac:dyDescent="0.3">
      <c r="A241" s="6" t="s">
        <v>335</v>
      </c>
      <c r="B241" s="6" t="s">
        <v>185</v>
      </c>
      <c r="C241" s="9">
        <v>744</v>
      </c>
      <c r="D241" s="9">
        <v>672</v>
      </c>
      <c r="E241" s="9">
        <v>744</v>
      </c>
      <c r="F241" s="9">
        <v>720</v>
      </c>
      <c r="G241" s="9">
        <v>741</v>
      </c>
      <c r="H241" s="9">
        <v>720</v>
      </c>
      <c r="I241" s="9">
        <v>744</v>
      </c>
      <c r="J241" s="9">
        <v>741</v>
      </c>
      <c r="K241" s="9">
        <v>720</v>
      </c>
      <c r="L241" s="9">
        <v>744</v>
      </c>
      <c r="M241" s="9">
        <v>720</v>
      </c>
      <c r="N241" s="9">
        <v>744</v>
      </c>
      <c r="O241" s="29">
        <f t="shared" si="3"/>
        <v>8754</v>
      </c>
    </row>
    <row r="242" spans="1:15" ht="15" customHeight="1" x14ac:dyDescent="0.3">
      <c r="A242" s="6" t="s">
        <v>383</v>
      </c>
      <c r="B242" s="6" t="s">
        <v>242</v>
      </c>
      <c r="C242" s="9"/>
      <c r="D242" s="9">
        <v>412</v>
      </c>
      <c r="E242" s="9">
        <v>744</v>
      </c>
      <c r="F242" s="9">
        <v>720</v>
      </c>
      <c r="G242" s="9">
        <v>744</v>
      </c>
      <c r="H242" s="9">
        <v>720</v>
      </c>
      <c r="I242" s="9">
        <v>744</v>
      </c>
      <c r="J242" s="9">
        <v>744</v>
      </c>
      <c r="K242" s="9">
        <v>720</v>
      </c>
      <c r="L242" s="9">
        <v>744</v>
      </c>
      <c r="M242" s="9">
        <v>720</v>
      </c>
      <c r="N242" s="9">
        <v>744</v>
      </c>
      <c r="O242" s="29">
        <f t="shared" si="3"/>
        <v>7756</v>
      </c>
    </row>
    <row r="243" spans="1:15" ht="15" customHeight="1" x14ac:dyDescent="0.3">
      <c r="A243" s="6" t="s">
        <v>336</v>
      </c>
      <c r="B243" s="6" t="s">
        <v>299</v>
      </c>
      <c r="C243" s="9">
        <v>744</v>
      </c>
      <c r="D243" s="9">
        <v>672</v>
      </c>
      <c r="E243" s="9">
        <v>615</v>
      </c>
      <c r="F243" s="9">
        <v>427</v>
      </c>
      <c r="G243" s="9">
        <v>364</v>
      </c>
      <c r="H243" s="9">
        <v>651</v>
      </c>
      <c r="I243" s="9">
        <v>744</v>
      </c>
      <c r="J243" s="9">
        <v>736</v>
      </c>
      <c r="K243" s="9">
        <v>720</v>
      </c>
      <c r="L243" s="9">
        <v>738</v>
      </c>
      <c r="M243" s="9">
        <v>720</v>
      </c>
      <c r="N243" s="9">
        <v>696</v>
      </c>
      <c r="O243" s="29">
        <f t="shared" si="3"/>
        <v>7827</v>
      </c>
    </row>
    <row r="244" spans="1:15" ht="15" customHeight="1" x14ac:dyDescent="0.3">
      <c r="A244" s="6" t="s">
        <v>487</v>
      </c>
      <c r="B244" s="6" t="s">
        <v>461</v>
      </c>
      <c r="C244" s="9"/>
      <c r="D244" s="9"/>
      <c r="E244" s="9"/>
      <c r="F244" s="9">
        <v>701</v>
      </c>
      <c r="G244" s="9">
        <v>614</v>
      </c>
      <c r="H244" s="9"/>
      <c r="I244" s="9"/>
      <c r="J244" s="9">
        <v>733</v>
      </c>
      <c r="K244" s="9">
        <v>720</v>
      </c>
      <c r="L244" s="9">
        <v>628</v>
      </c>
      <c r="M244" s="9"/>
      <c r="N244" s="9"/>
      <c r="O244" s="29">
        <f t="shared" si="3"/>
        <v>3396</v>
      </c>
    </row>
    <row r="245" spans="1:15" ht="15" customHeight="1" x14ac:dyDescent="0.3">
      <c r="A245" s="6" t="s">
        <v>337</v>
      </c>
      <c r="B245" s="6" t="s">
        <v>325</v>
      </c>
      <c r="C245" s="9">
        <v>744</v>
      </c>
      <c r="D245" s="9">
        <v>648</v>
      </c>
      <c r="E245" s="9">
        <v>744</v>
      </c>
      <c r="F245" s="9">
        <v>720</v>
      </c>
      <c r="G245" s="9">
        <v>744</v>
      </c>
      <c r="H245" s="9">
        <v>706</v>
      </c>
      <c r="I245" s="9">
        <v>744</v>
      </c>
      <c r="J245" s="9">
        <v>744</v>
      </c>
      <c r="K245" s="9">
        <v>720</v>
      </c>
      <c r="L245" s="9">
        <v>744</v>
      </c>
      <c r="M245" s="9">
        <v>720</v>
      </c>
      <c r="N245" s="9">
        <v>744</v>
      </c>
      <c r="O245" s="29">
        <f t="shared" si="3"/>
        <v>8722</v>
      </c>
    </row>
    <row r="246" spans="1:15" ht="15" customHeight="1" x14ac:dyDescent="0.3">
      <c r="A246" s="6" t="s">
        <v>338</v>
      </c>
      <c r="B246" s="6" t="s">
        <v>100</v>
      </c>
      <c r="C246" s="9">
        <v>744</v>
      </c>
      <c r="D246" s="9">
        <v>547</v>
      </c>
      <c r="E246" s="9">
        <v>671</v>
      </c>
      <c r="F246" s="9">
        <v>720</v>
      </c>
      <c r="G246" s="9">
        <v>744</v>
      </c>
      <c r="H246" s="9">
        <v>720</v>
      </c>
      <c r="I246" s="9">
        <v>692</v>
      </c>
      <c r="J246" s="9">
        <v>638</v>
      </c>
      <c r="K246" s="9">
        <v>720</v>
      </c>
      <c r="L246" s="9">
        <v>744</v>
      </c>
      <c r="M246" s="9">
        <v>456</v>
      </c>
      <c r="N246" s="9">
        <v>302</v>
      </c>
      <c r="O246" s="29">
        <f t="shared" si="3"/>
        <v>7698</v>
      </c>
    </row>
    <row r="247" spans="1:15" ht="15" customHeight="1" x14ac:dyDescent="0.3">
      <c r="A247" s="6" t="s">
        <v>339</v>
      </c>
      <c r="B247" s="6" t="s">
        <v>272</v>
      </c>
      <c r="C247" s="9">
        <v>744</v>
      </c>
      <c r="D247" s="9">
        <v>672</v>
      </c>
      <c r="E247" s="9">
        <v>744</v>
      </c>
      <c r="F247" s="9">
        <v>720</v>
      </c>
      <c r="G247" s="9">
        <v>744</v>
      </c>
      <c r="H247" s="9">
        <v>600</v>
      </c>
      <c r="I247" s="9">
        <v>744</v>
      </c>
      <c r="J247" s="9">
        <v>744</v>
      </c>
      <c r="K247" s="9">
        <v>576</v>
      </c>
      <c r="L247" s="9">
        <v>744</v>
      </c>
      <c r="M247" s="9">
        <v>720</v>
      </c>
      <c r="N247" s="9">
        <v>744</v>
      </c>
      <c r="O247" s="29">
        <f t="shared" si="3"/>
        <v>8496</v>
      </c>
    </row>
    <row r="248" spans="1:15" ht="15" customHeight="1" x14ac:dyDescent="0.3">
      <c r="A248" s="6" t="s">
        <v>340</v>
      </c>
      <c r="B248" s="6" t="s">
        <v>85</v>
      </c>
      <c r="C248" s="9">
        <v>744</v>
      </c>
      <c r="D248" s="9">
        <v>672</v>
      </c>
      <c r="E248" s="9">
        <v>734</v>
      </c>
      <c r="F248" s="9">
        <v>693</v>
      </c>
      <c r="G248" s="9">
        <v>634</v>
      </c>
      <c r="H248" s="9">
        <v>706</v>
      </c>
      <c r="I248" s="9">
        <v>677</v>
      </c>
      <c r="J248" s="9">
        <v>715</v>
      </c>
      <c r="K248" s="9">
        <v>637</v>
      </c>
      <c r="L248" s="9">
        <v>688</v>
      </c>
      <c r="M248" s="9">
        <v>720</v>
      </c>
      <c r="N248" s="9">
        <v>696</v>
      </c>
      <c r="O248" s="29">
        <f t="shared" si="3"/>
        <v>8316</v>
      </c>
    </row>
    <row r="249" spans="1:15" ht="15" customHeight="1" x14ac:dyDescent="0.3">
      <c r="A249" s="6" t="s">
        <v>341</v>
      </c>
      <c r="B249" s="6" t="s">
        <v>322</v>
      </c>
      <c r="C249" s="9">
        <v>744</v>
      </c>
      <c r="D249" s="9">
        <v>672</v>
      </c>
      <c r="E249" s="9">
        <v>741</v>
      </c>
      <c r="F249" s="9">
        <v>714</v>
      </c>
      <c r="G249" s="9">
        <v>742</v>
      </c>
      <c r="H249" s="9">
        <v>719</v>
      </c>
      <c r="I249" s="9">
        <v>744</v>
      </c>
      <c r="J249" s="9">
        <v>744</v>
      </c>
      <c r="K249" s="9">
        <v>720</v>
      </c>
      <c r="L249" s="9">
        <v>744</v>
      </c>
      <c r="M249" s="9">
        <v>720</v>
      </c>
      <c r="N249" s="9">
        <v>744</v>
      </c>
      <c r="O249" s="29">
        <f t="shared" si="3"/>
        <v>8748</v>
      </c>
    </row>
    <row r="250" spans="1:15" ht="15" customHeight="1" x14ac:dyDescent="0.3">
      <c r="A250" s="6" t="s">
        <v>342</v>
      </c>
      <c r="B250" s="6" t="s">
        <v>135</v>
      </c>
      <c r="C250" s="9">
        <v>744</v>
      </c>
      <c r="D250" s="9">
        <v>510</v>
      </c>
      <c r="E250" s="9">
        <v>592</v>
      </c>
      <c r="F250" s="9">
        <v>283</v>
      </c>
      <c r="G250" s="9">
        <v>420</v>
      </c>
      <c r="H250" s="9">
        <v>529</v>
      </c>
      <c r="I250" s="9">
        <v>469</v>
      </c>
      <c r="J250" s="9">
        <v>544</v>
      </c>
      <c r="K250" s="9">
        <v>720</v>
      </c>
      <c r="L250" s="9">
        <v>744</v>
      </c>
      <c r="M250" s="9">
        <v>720</v>
      </c>
      <c r="N250" s="9">
        <v>744</v>
      </c>
      <c r="O250" s="29">
        <f t="shared" si="3"/>
        <v>7019</v>
      </c>
    </row>
    <row r="251" spans="1:15" ht="15" customHeight="1" x14ac:dyDescent="0.3">
      <c r="A251" s="6" t="s">
        <v>343</v>
      </c>
      <c r="B251" s="6" t="s">
        <v>185</v>
      </c>
      <c r="C251" s="9">
        <v>744</v>
      </c>
      <c r="D251" s="9">
        <v>672</v>
      </c>
      <c r="E251" s="9">
        <v>744</v>
      </c>
      <c r="F251" s="9">
        <v>720</v>
      </c>
      <c r="G251" s="9">
        <v>741</v>
      </c>
      <c r="H251" s="9">
        <v>720</v>
      </c>
      <c r="I251" s="9">
        <v>744</v>
      </c>
      <c r="J251" s="9">
        <v>738</v>
      </c>
      <c r="K251" s="9">
        <v>720</v>
      </c>
      <c r="L251" s="9">
        <v>744</v>
      </c>
      <c r="M251" s="9">
        <v>720</v>
      </c>
      <c r="N251" s="9">
        <v>744</v>
      </c>
      <c r="O251" s="29">
        <f t="shared" si="3"/>
        <v>8751</v>
      </c>
    </row>
    <row r="252" spans="1:15" ht="15" customHeight="1" x14ac:dyDescent="0.3">
      <c r="A252" s="6" t="s">
        <v>344</v>
      </c>
      <c r="B252" s="6" t="s">
        <v>85</v>
      </c>
      <c r="C252" s="9">
        <v>725</v>
      </c>
      <c r="D252" s="9">
        <v>672</v>
      </c>
      <c r="E252" s="9">
        <v>734</v>
      </c>
      <c r="F252" s="9">
        <v>669</v>
      </c>
      <c r="G252" s="9">
        <v>610</v>
      </c>
      <c r="H252" s="9">
        <v>706</v>
      </c>
      <c r="I252" s="9">
        <v>677</v>
      </c>
      <c r="J252" s="9">
        <v>715</v>
      </c>
      <c r="K252" s="9">
        <v>623</v>
      </c>
      <c r="L252" s="9">
        <v>688</v>
      </c>
      <c r="M252" s="9">
        <v>720</v>
      </c>
      <c r="N252" s="9">
        <v>720</v>
      </c>
      <c r="O252" s="29">
        <f t="shared" si="3"/>
        <v>8259</v>
      </c>
    </row>
    <row r="253" spans="1:15" ht="15" customHeight="1" x14ac:dyDescent="0.3">
      <c r="A253" s="6" t="s">
        <v>345</v>
      </c>
      <c r="B253" s="6" t="s">
        <v>135</v>
      </c>
      <c r="C253" s="9">
        <v>744</v>
      </c>
      <c r="D253" s="9">
        <v>579</v>
      </c>
      <c r="E253" s="9">
        <v>598</v>
      </c>
      <c r="F253" s="9">
        <v>419</v>
      </c>
      <c r="G253" s="9">
        <v>471</v>
      </c>
      <c r="H253" s="9">
        <v>405</v>
      </c>
      <c r="I253" s="9">
        <v>282</v>
      </c>
      <c r="J253" s="9">
        <v>331</v>
      </c>
      <c r="K253" s="9">
        <v>720</v>
      </c>
      <c r="L253" s="9">
        <v>744</v>
      </c>
      <c r="M253" s="9">
        <v>720</v>
      </c>
      <c r="N253" s="9">
        <v>744</v>
      </c>
      <c r="O253" s="29">
        <f t="shared" si="3"/>
        <v>6757</v>
      </c>
    </row>
    <row r="254" spans="1:15" ht="15" customHeight="1" x14ac:dyDescent="0.3">
      <c r="A254" s="6" t="s">
        <v>346</v>
      </c>
      <c r="B254" s="6" t="s">
        <v>311</v>
      </c>
      <c r="C254" s="9">
        <v>741</v>
      </c>
      <c r="D254" s="9">
        <v>672</v>
      </c>
      <c r="E254" s="9">
        <v>743</v>
      </c>
      <c r="F254" s="9">
        <v>707</v>
      </c>
      <c r="G254" s="9">
        <v>743</v>
      </c>
      <c r="H254" s="9">
        <v>718</v>
      </c>
      <c r="I254" s="9">
        <v>744</v>
      </c>
      <c r="J254" s="9">
        <v>744</v>
      </c>
      <c r="K254" s="9">
        <v>720</v>
      </c>
      <c r="L254" s="9">
        <v>744</v>
      </c>
      <c r="M254" s="9">
        <v>720</v>
      </c>
      <c r="N254" s="9">
        <v>744</v>
      </c>
      <c r="O254" s="29">
        <f t="shared" si="3"/>
        <v>8740</v>
      </c>
    </row>
    <row r="255" spans="1:15" ht="15" customHeight="1" x14ac:dyDescent="0.3">
      <c r="A255" s="6" t="s">
        <v>347</v>
      </c>
      <c r="B255" s="6" t="s">
        <v>348</v>
      </c>
      <c r="C255" s="9">
        <v>744</v>
      </c>
      <c r="D255" s="9">
        <v>672</v>
      </c>
      <c r="E255" s="9">
        <v>744</v>
      </c>
      <c r="F255" s="9">
        <v>720</v>
      </c>
      <c r="G255" s="9">
        <v>744</v>
      </c>
      <c r="H255" s="9">
        <v>720</v>
      </c>
      <c r="I255" s="9">
        <v>744</v>
      </c>
      <c r="J255" s="9">
        <v>744</v>
      </c>
      <c r="K255" s="9">
        <v>720</v>
      </c>
      <c r="L255" s="9">
        <v>744</v>
      </c>
      <c r="M255" s="9">
        <v>720</v>
      </c>
      <c r="N255" s="9">
        <v>504</v>
      </c>
      <c r="O255" s="29">
        <f t="shared" si="3"/>
        <v>8520</v>
      </c>
    </row>
    <row r="256" spans="1:15" ht="15" customHeight="1" x14ac:dyDescent="0.3">
      <c r="A256" s="6" t="s">
        <v>350</v>
      </c>
      <c r="B256" s="6" t="s">
        <v>275</v>
      </c>
      <c r="C256" s="9">
        <v>744</v>
      </c>
      <c r="D256" s="9">
        <v>672</v>
      </c>
      <c r="E256" s="9">
        <v>737</v>
      </c>
      <c r="F256" s="9">
        <v>712</v>
      </c>
      <c r="G256" s="9">
        <v>743</v>
      </c>
      <c r="H256" s="9">
        <v>720</v>
      </c>
      <c r="I256" s="9">
        <v>744</v>
      </c>
      <c r="J256" s="9">
        <v>743</v>
      </c>
      <c r="K256" s="9">
        <v>720</v>
      </c>
      <c r="L256" s="9">
        <v>744</v>
      </c>
      <c r="M256" s="9">
        <v>720</v>
      </c>
      <c r="N256" s="9">
        <v>744</v>
      </c>
      <c r="O256" s="29">
        <f t="shared" si="3"/>
        <v>8743</v>
      </c>
    </row>
    <row r="257" spans="1:15" ht="15" customHeight="1" x14ac:dyDescent="0.3">
      <c r="A257" s="6" t="s">
        <v>351</v>
      </c>
      <c r="B257" s="6" t="s">
        <v>352</v>
      </c>
      <c r="C257" s="9">
        <v>744</v>
      </c>
      <c r="D257" s="9">
        <v>672</v>
      </c>
      <c r="E257" s="9">
        <v>744</v>
      </c>
      <c r="F257" s="9">
        <v>720</v>
      </c>
      <c r="G257" s="9">
        <v>744</v>
      </c>
      <c r="H257" s="9">
        <v>672</v>
      </c>
      <c r="I257" s="9">
        <v>744</v>
      </c>
      <c r="J257" s="9">
        <v>744</v>
      </c>
      <c r="K257" s="9">
        <v>702</v>
      </c>
      <c r="L257" s="9">
        <v>744</v>
      </c>
      <c r="M257" s="9">
        <v>718</v>
      </c>
      <c r="N257" s="9">
        <v>732</v>
      </c>
      <c r="O257" s="29">
        <f t="shared" si="3"/>
        <v>8680</v>
      </c>
    </row>
    <row r="258" spans="1:15" ht="15" customHeight="1" x14ac:dyDescent="0.3">
      <c r="A258" s="6" t="s">
        <v>421</v>
      </c>
      <c r="B258" s="6" t="s">
        <v>311</v>
      </c>
      <c r="C258" s="9">
        <v>741</v>
      </c>
      <c r="D258" s="9">
        <v>648</v>
      </c>
      <c r="E258" s="9">
        <v>699</v>
      </c>
      <c r="F258" s="9">
        <v>689</v>
      </c>
      <c r="G258" s="9">
        <v>740</v>
      </c>
      <c r="H258" s="9"/>
      <c r="I258" s="9">
        <v>744</v>
      </c>
      <c r="J258" s="9">
        <v>730</v>
      </c>
      <c r="K258" s="9">
        <v>720</v>
      </c>
      <c r="L258" s="9"/>
      <c r="M258" s="9">
        <v>720</v>
      </c>
      <c r="N258" s="9">
        <v>744</v>
      </c>
      <c r="O258" s="29">
        <f t="shared" si="3"/>
        <v>7175</v>
      </c>
    </row>
    <row r="259" spans="1:15" ht="15" customHeight="1" x14ac:dyDescent="0.3">
      <c r="A259" s="6" t="s">
        <v>354</v>
      </c>
      <c r="B259" s="6" t="s">
        <v>272</v>
      </c>
      <c r="C259" s="9">
        <v>744</v>
      </c>
      <c r="D259" s="9">
        <v>672</v>
      </c>
      <c r="E259" s="9">
        <v>744</v>
      </c>
      <c r="F259" s="9">
        <v>720</v>
      </c>
      <c r="G259" s="9">
        <v>744</v>
      </c>
      <c r="H259" s="9">
        <v>720</v>
      </c>
      <c r="I259" s="9">
        <v>744</v>
      </c>
      <c r="J259" s="9">
        <v>744</v>
      </c>
      <c r="K259" s="9">
        <v>720</v>
      </c>
      <c r="L259" s="9">
        <v>744</v>
      </c>
      <c r="M259" s="9">
        <v>720</v>
      </c>
      <c r="N259" s="9">
        <v>744</v>
      </c>
      <c r="O259" s="29">
        <f t="shared" si="3"/>
        <v>8760</v>
      </c>
    </row>
    <row r="260" spans="1:15" ht="15" customHeight="1" x14ac:dyDescent="0.3">
      <c r="A260" s="6" t="s">
        <v>355</v>
      </c>
      <c r="B260" s="6" t="s">
        <v>80</v>
      </c>
      <c r="C260" s="9">
        <v>744</v>
      </c>
      <c r="D260" s="9">
        <v>672</v>
      </c>
      <c r="E260" s="9">
        <v>738</v>
      </c>
      <c r="F260" s="9">
        <v>713</v>
      </c>
      <c r="G260" s="9">
        <v>742</v>
      </c>
      <c r="H260" s="9">
        <v>720</v>
      </c>
      <c r="I260" s="9">
        <v>744</v>
      </c>
      <c r="J260" s="9">
        <v>741</v>
      </c>
      <c r="K260" s="9">
        <v>720</v>
      </c>
      <c r="L260" s="9">
        <v>744</v>
      </c>
      <c r="M260" s="9">
        <v>720</v>
      </c>
      <c r="N260" s="9">
        <v>744</v>
      </c>
      <c r="O260" s="29">
        <f t="shared" ref="O260:O323" si="4">SUM(C260:N260)</f>
        <v>8742</v>
      </c>
    </row>
    <row r="261" spans="1:15" ht="15" customHeight="1" x14ac:dyDescent="0.3">
      <c r="A261" s="6" t="s">
        <v>490</v>
      </c>
      <c r="B261" s="6" t="s">
        <v>85</v>
      </c>
      <c r="C261" s="9">
        <v>744</v>
      </c>
      <c r="D261" s="9">
        <v>660</v>
      </c>
      <c r="E261" s="9">
        <v>734</v>
      </c>
      <c r="F261" s="9">
        <v>717</v>
      </c>
      <c r="G261" s="9">
        <v>744</v>
      </c>
      <c r="H261" s="9">
        <v>706</v>
      </c>
      <c r="I261" s="9">
        <v>633</v>
      </c>
      <c r="J261" s="9">
        <v>741</v>
      </c>
      <c r="K261" s="9">
        <v>702</v>
      </c>
      <c r="L261" s="9">
        <v>714</v>
      </c>
      <c r="M261" s="9">
        <v>720</v>
      </c>
      <c r="N261" s="9">
        <v>48</v>
      </c>
      <c r="O261" s="29">
        <f t="shared" si="4"/>
        <v>7863</v>
      </c>
    </row>
    <row r="262" spans="1:15" ht="15" customHeight="1" x14ac:dyDescent="0.3">
      <c r="A262" s="6" t="s">
        <v>424</v>
      </c>
      <c r="B262" s="6" t="s">
        <v>299</v>
      </c>
      <c r="C262" s="9">
        <v>744</v>
      </c>
      <c r="D262" s="9">
        <v>672</v>
      </c>
      <c r="E262" s="9">
        <v>744</v>
      </c>
      <c r="F262" s="9">
        <v>720</v>
      </c>
      <c r="G262" s="9">
        <v>744</v>
      </c>
      <c r="H262" s="9">
        <v>720</v>
      </c>
      <c r="I262" s="9"/>
      <c r="J262" s="9"/>
      <c r="K262" s="9">
        <v>720</v>
      </c>
      <c r="L262" s="9">
        <v>726</v>
      </c>
      <c r="M262" s="9">
        <v>720</v>
      </c>
      <c r="N262" s="9">
        <v>744</v>
      </c>
      <c r="O262" s="29">
        <f t="shared" si="4"/>
        <v>7254</v>
      </c>
    </row>
    <row r="263" spans="1:15" ht="15" customHeight="1" x14ac:dyDescent="0.3">
      <c r="A263" s="6" t="s">
        <v>356</v>
      </c>
      <c r="B263" s="6" t="s">
        <v>299</v>
      </c>
      <c r="C263" s="9">
        <v>744</v>
      </c>
      <c r="D263" s="9">
        <v>672</v>
      </c>
      <c r="E263" s="9">
        <v>740</v>
      </c>
      <c r="F263" s="9">
        <v>712</v>
      </c>
      <c r="G263" s="9">
        <v>735</v>
      </c>
      <c r="H263" s="9">
        <v>713</v>
      </c>
      <c r="I263" s="9">
        <v>744</v>
      </c>
      <c r="J263" s="9">
        <v>744</v>
      </c>
      <c r="K263" s="9">
        <v>720</v>
      </c>
      <c r="L263" s="9">
        <v>744</v>
      </c>
      <c r="M263" s="9">
        <v>720</v>
      </c>
      <c r="N263" s="9">
        <v>744</v>
      </c>
      <c r="O263" s="29">
        <f t="shared" si="4"/>
        <v>8732</v>
      </c>
    </row>
    <row r="264" spans="1:15" ht="15" customHeight="1" x14ac:dyDescent="0.3">
      <c r="A264" s="6" t="s">
        <v>357</v>
      </c>
      <c r="B264" s="6" t="s">
        <v>275</v>
      </c>
      <c r="C264" s="9">
        <v>720</v>
      </c>
      <c r="D264" s="9">
        <v>672</v>
      </c>
      <c r="E264" s="9">
        <v>681</v>
      </c>
      <c r="F264" s="9">
        <v>694</v>
      </c>
      <c r="G264" s="9">
        <v>704</v>
      </c>
      <c r="H264" s="9">
        <v>689</v>
      </c>
      <c r="I264" s="9">
        <v>744</v>
      </c>
      <c r="J264" s="9">
        <v>696</v>
      </c>
      <c r="K264" s="9">
        <v>720</v>
      </c>
      <c r="L264" s="9">
        <v>720</v>
      </c>
      <c r="M264" s="9">
        <v>720</v>
      </c>
      <c r="N264" s="9">
        <v>720</v>
      </c>
      <c r="O264" s="29">
        <f t="shared" si="4"/>
        <v>8480</v>
      </c>
    </row>
    <row r="265" spans="1:15" ht="15" customHeight="1" x14ac:dyDescent="0.3">
      <c r="A265" s="6" t="s">
        <v>491</v>
      </c>
      <c r="B265" s="6" t="s">
        <v>348</v>
      </c>
      <c r="C265" s="9">
        <v>744</v>
      </c>
      <c r="D265" s="9">
        <v>672</v>
      </c>
      <c r="E265" s="9">
        <v>744</v>
      </c>
      <c r="F265" s="9">
        <v>720</v>
      </c>
      <c r="G265" s="9">
        <v>744</v>
      </c>
      <c r="H265" s="9">
        <v>576</v>
      </c>
      <c r="I265" s="9">
        <v>528</v>
      </c>
      <c r="J265" s="9">
        <v>744</v>
      </c>
      <c r="K265" s="9">
        <v>720</v>
      </c>
      <c r="L265" s="9">
        <v>720</v>
      </c>
      <c r="M265" s="9"/>
      <c r="N265" s="9"/>
      <c r="O265" s="29">
        <f t="shared" si="4"/>
        <v>6912</v>
      </c>
    </row>
    <row r="266" spans="1:15" ht="15" customHeight="1" x14ac:dyDescent="0.3">
      <c r="A266" s="6" t="s">
        <v>358</v>
      </c>
      <c r="B266" s="6" t="s">
        <v>352</v>
      </c>
      <c r="C266" s="9">
        <v>744</v>
      </c>
      <c r="D266" s="9">
        <v>672</v>
      </c>
      <c r="E266" s="9">
        <v>744</v>
      </c>
      <c r="F266" s="9">
        <v>720</v>
      </c>
      <c r="G266" s="9">
        <v>744</v>
      </c>
      <c r="H266" s="9">
        <v>696</v>
      </c>
      <c r="I266" s="9">
        <v>744</v>
      </c>
      <c r="J266" s="9">
        <v>744</v>
      </c>
      <c r="K266" s="9">
        <v>720</v>
      </c>
      <c r="L266" s="9">
        <v>720</v>
      </c>
      <c r="M266" s="9">
        <v>576</v>
      </c>
      <c r="N266" s="9">
        <v>744</v>
      </c>
      <c r="O266" s="29">
        <f t="shared" si="4"/>
        <v>8568</v>
      </c>
    </row>
    <row r="267" spans="1:15" ht="15" customHeight="1" x14ac:dyDescent="0.3">
      <c r="A267" s="6" t="s">
        <v>492</v>
      </c>
      <c r="B267" s="6" t="s">
        <v>71</v>
      </c>
      <c r="C267" s="9">
        <v>700</v>
      </c>
      <c r="D267" s="9">
        <v>271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29">
        <f t="shared" si="4"/>
        <v>971</v>
      </c>
    </row>
    <row r="268" spans="1:15" ht="15" customHeight="1" x14ac:dyDescent="0.3">
      <c r="A268" s="6" t="s">
        <v>359</v>
      </c>
      <c r="B268" s="6" t="s">
        <v>85</v>
      </c>
      <c r="C268" s="9">
        <v>739</v>
      </c>
      <c r="D268" s="9">
        <v>672</v>
      </c>
      <c r="E268" s="9">
        <v>734</v>
      </c>
      <c r="F268" s="9">
        <v>717</v>
      </c>
      <c r="G268" s="9">
        <v>720</v>
      </c>
      <c r="H268" s="9">
        <v>706</v>
      </c>
      <c r="I268" s="9">
        <v>738</v>
      </c>
      <c r="J268" s="9">
        <v>738</v>
      </c>
      <c r="K268" s="9">
        <v>684</v>
      </c>
      <c r="L268" s="9">
        <v>730</v>
      </c>
      <c r="M268" s="9">
        <v>720</v>
      </c>
      <c r="N268" s="9">
        <v>726</v>
      </c>
      <c r="O268" s="29">
        <f t="shared" si="4"/>
        <v>8624</v>
      </c>
    </row>
    <row r="269" spans="1:15" ht="15" customHeight="1" x14ac:dyDescent="0.3">
      <c r="A269" s="6" t="s">
        <v>493</v>
      </c>
      <c r="B269" s="6" t="s">
        <v>272</v>
      </c>
      <c r="C269" s="9">
        <v>744</v>
      </c>
      <c r="D269" s="9">
        <v>672</v>
      </c>
      <c r="E269" s="9">
        <v>720</v>
      </c>
      <c r="F269" s="9">
        <v>720</v>
      </c>
      <c r="G269" s="9">
        <v>744</v>
      </c>
      <c r="H269" s="9">
        <v>684</v>
      </c>
      <c r="I269" s="9">
        <v>576</v>
      </c>
      <c r="J269" s="9">
        <v>736</v>
      </c>
      <c r="K269" s="9">
        <v>576</v>
      </c>
      <c r="L269" s="9">
        <v>744</v>
      </c>
      <c r="M269" s="9">
        <v>696</v>
      </c>
      <c r="N269" s="9">
        <v>120</v>
      </c>
      <c r="O269" s="29">
        <f t="shared" si="4"/>
        <v>7732</v>
      </c>
    </row>
    <row r="270" spans="1:15" ht="15" customHeight="1" x14ac:dyDescent="0.3">
      <c r="A270" s="6" t="s">
        <v>494</v>
      </c>
      <c r="B270" s="6" t="s">
        <v>437</v>
      </c>
      <c r="C270" s="9"/>
      <c r="D270" s="9"/>
      <c r="E270" s="9"/>
      <c r="F270" s="9"/>
      <c r="G270" s="9">
        <v>320</v>
      </c>
      <c r="H270" s="9">
        <v>720</v>
      </c>
      <c r="I270" s="9">
        <v>672</v>
      </c>
      <c r="J270" s="9"/>
      <c r="K270" s="9"/>
      <c r="L270" s="9"/>
      <c r="M270" s="9"/>
      <c r="N270" s="9"/>
      <c r="O270" s="29">
        <f t="shared" si="4"/>
        <v>1712</v>
      </c>
    </row>
    <row r="271" spans="1:15" ht="15" customHeight="1" x14ac:dyDescent="0.3">
      <c r="A271" s="6" t="s">
        <v>495</v>
      </c>
      <c r="B271" s="6" t="s">
        <v>85</v>
      </c>
      <c r="C271" s="9">
        <v>698</v>
      </c>
      <c r="D271" s="9">
        <v>636</v>
      </c>
      <c r="E271" s="9">
        <v>734</v>
      </c>
      <c r="F271" s="9">
        <v>261</v>
      </c>
      <c r="G271" s="9"/>
      <c r="H271" s="9"/>
      <c r="I271" s="9"/>
      <c r="J271" s="9"/>
      <c r="K271" s="9"/>
      <c r="L271" s="9"/>
      <c r="M271" s="9"/>
      <c r="N271" s="9"/>
      <c r="O271" s="29">
        <f t="shared" si="4"/>
        <v>2329</v>
      </c>
    </row>
    <row r="272" spans="1:15" ht="15" customHeight="1" x14ac:dyDescent="0.3">
      <c r="A272" s="6" t="s">
        <v>496</v>
      </c>
      <c r="B272" s="6" t="s">
        <v>497</v>
      </c>
      <c r="C272" s="9"/>
      <c r="D272" s="9">
        <v>442</v>
      </c>
      <c r="E272" s="9">
        <v>496</v>
      </c>
      <c r="F272" s="9"/>
      <c r="G272" s="9"/>
      <c r="H272" s="9"/>
      <c r="I272" s="9"/>
      <c r="J272" s="9"/>
      <c r="K272" s="9"/>
      <c r="L272" s="9"/>
      <c r="M272" s="9"/>
      <c r="N272" s="9"/>
      <c r="O272" s="29">
        <f t="shared" si="4"/>
        <v>938</v>
      </c>
    </row>
    <row r="273" spans="1:15" ht="15" customHeight="1" x14ac:dyDescent="0.3">
      <c r="A273" s="6" t="s">
        <v>499</v>
      </c>
      <c r="B273" s="6" t="s">
        <v>348</v>
      </c>
      <c r="C273" s="9">
        <v>744</v>
      </c>
      <c r="D273" s="9">
        <v>672</v>
      </c>
      <c r="E273" s="9">
        <v>744</v>
      </c>
      <c r="F273" s="9">
        <v>720</v>
      </c>
      <c r="G273" s="9">
        <v>744</v>
      </c>
      <c r="H273" s="9">
        <v>720</v>
      </c>
      <c r="I273" s="9">
        <v>480</v>
      </c>
      <c r="J273" s="9"/>
      <c r="K273" s="9"/>
      <c r="L273" s="9"/>
      <c r="M273" s="9"/>
      <c r="N273" s="9"/>
      <c r="O273" s="29">
        <f t="shared" si="4"/>
        <v>4824</v>
      </c>
    </row>
    <row r="274" spans="1:15" ht="15" customHeight="1" x14ac:dyDescent="0.3">
      <c r="A274" s="6" t="s">
        <v>500</v>
      </c>
      <c r="B274" s="6" t="s">
        <v>437</v>
      </c>
      <c r="C274" s="9"/>
      <c r="D274" s="9"/>
      <c r="E274" s="9"/>
      <c r="F274" s="9"/>
      <c r="G274" s="9">
        <v>264</v>
      </c>
      <c r="H274" s="9">
        <v>720</v>
      </c>
      <c r="I274" s="9">
        <v>672</v>
      </c>
      <c r="J274" s="9"/>
      <c r="K274" s="9"/>
      <c r="L274" s="9"/>
      <c r="M274" s="9"/>
      <c r="N274" s="9"/>
      <c r="O274" s="29">
        <f t="shared" si="4"/>
        <v>1656</v>
      </c>
    </row>
    <row r="275" spans="1:15" ht="15" customHeight="1" x14ac:dyDescent="0.3">
      <c r="A275" s="6" t="s">
        <v>501</v>
      </c>
      <c r="B275" s="6" t="s">
        <v>502</v>
      </c>
      <c r="C275" s="9"/>
      <c r="D275" s="9"/>
      <c r="E275" s="9">
        <v>194</v>
      </c>
      <c r="F275" s="9"/>
      <c r="G275" s="9"/>
      <c r="H275" s="9"/>
      <c r="I275" s="9"/>
      <c r="J275" s="9"/>
      <c r="K275" s="9"/>
      <c r="L275" s="9"/>
      <c r="M275" s="9"/>
      <c r="N275" s="9"/>
      <c r="O275" s="29">
        <f t="shared" si="4"/>
        <v>194</v>
      </c>
    </row>
    <row r="276" spans="1:15" ht="15" customHeight="1" x14ac:dyDescent="0.3">
      <c r="A276" s="6" t="s">
        <v>504</v>
      </c>
      <c r="B276" s="6" t="s">
        <v>505</v>
      </c>
      <c r="C276" s="9"/>
      <c r="D276" s="9">
        <v>216</v>
      </c>
      <c r="E276" s="9">
        <v>437</v>
      </c>
      <c r="F276" s="9"/>
      <c r="G276" s="9"/>
      <c r="H276" s="9"/>
      <c r="I276" s="9"/>
      <c r="J276" s="9"/>
      <c r="K276" s="9"/>
      <c r="L276" s="9"/>
      <c r="M276" s="9"/>
      <c r="N276" s="9"/>
      <c r="O276" s="29">
        <f t="shared" si="4"/>
        <v>653</v>
      </c>
    </row>
    <row r="277" spans="1:15" ht="15" customHeight="1" x14ac:dyDescent="0.3">
      <c r="A277" s="6" t="s">
        <v>507</v>
      </c>
      <c r="B277" s="6" t="s">
        <v>508</v>
      </c>
      <c r="C277" s="9"/>
      <c r="D277" s="9">
        <v>573</v>
      </c>
      <c r="E277" s="9">
        <v>223</v>
      </c>
      <c r="F277" s="9"/>
      <c r="G277" s="9"/>
      <c r="H277" s="9"/>
      <c r="I277" s="9"/>
      <c r="J277" s="9"/>
      <c r="K277" s="9"/>
      <c r="L277" s="9"/>
      <c r="M277" s="9"/>
      <c r="N277" s="9"/>
      <c r="O277" s="29">
        <f t="shared" si="4"/>
        <v>796</v>
      </c>
    </row>
    <row r="278" spans="1:15" ht="15" customHeight="1" x14ac:dyDescent="0.3">
      <c r="A278" s="6" t="s">
        <v>510</v>
      </c>
      <c r="B278" s="6" t="s">
        <v>71</v>
      </c>
      <c r="C278" s="9">
        <v>39</v>
      </c>
      <c r="D278" s="9">
        <v>617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29">
        <f t="shared" si="4"/>
        <v>656</v>
      </c>
    </row>
    <row r="279" spans="1:15" ht="15" customHeight="1" x14ac:dyDescent="0.3">
      <c r="A279" s="6" t="s">
        <v>511</v>
      </c>
      <c r="B279" s="6" t="s">
        <v>55</v>
      </c>
      <c r="C279" s="9"/>
      <c r="D279" s="9">
        <v>595</v>
      </c>
      <c r="E279" s="9">
        <v>436</v>
      </c>
      <c r="F279" s="9"/>
      <c r="G279" s="9"/>
      <c r="H279" s="9"/>
      <c r="I279" s="9"/>
      <c r="J279" s="9"/>
      <c r="K279" s="9"/>
      <c r="L279" s="9"/>
      <c r="M279" s="9"/>
      <c r="N279" s="9"/>
      <c r="O279" s="29">
        <f t="shared" si="4"/>
        <v>1031</v>
      </c>
    </row>
    <row r="280" spans="1:15" ht="15" customHeight="1" x14ac:dyDescent="0.3">
      <c r="A280" s="6" t="s">
        <v>512</v>
      </c>
      <c r="B280" s="6" t="s">
        <v>513</v>
      </c>
      <c r="C280" s="9"/>
      <c r="D280" s="9"/>
      <c r="E280" s="9">
        <v>480</v>
      </c>
      <c r="F280" s="9"/>
      <c r="G280" s="9"/>
      <c r="H280" s="9"/>
      <c r="I280" s="9"/>
      <c r="J280" s="9"/>
      <c r="K280" s="9"/>
      <c r="L280" s="9"/>
      <c r="M280" s="9"/>
      <c r="N280" s="9">
        <v>187</v>
      </c>
      <c r="O280" s="29">
        <f t="shared" si="4"/>
        <v>667</v>
      </c>
    </row>
    <row r="281" spans="1:15" ht="15" customHeight="1" x14ac:dyDescent="0.3">
      <c r="A281" s="6" t="s">
        <v>515</v>
      </c>
      <c r="B281" s="6" t="s">
        <v>516</v>
      </c>
      <c r="C281" s="9">
        <v>204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29">
        <f t="shared" si="4"/>
        <v>204</v>
      </c>
    </row>
    <row r="282" spans="1:15" ht="15" customHeight="1" x14ac:dyDescent="0.3">
      <c r="A282" s="6" t="s">
        <v>518</v>
      </c>
      <c r="B282" s="6" t="s">
        <v>516</v>
      </c>
      <c r="C282" s="9">
        <v>204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29">
        <f t="shared" si="4"/>
        <v>204</v>
      </c>
    </row>
    <row r="283" spans="1:15" ht="15" customHeight="1" x14ac:dyDescent="0.3">
      <c r="A283" s="6" t="s">
        <v>519</v>
      </c>
      <c r="B283" s="6" t="s">
        <v>516</v>
      </c>
      <c r="C283" s="9">
        <v>216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29">
        <f t="shared" si="4"/>
        <v>216</v>
      </c>
    </row>
    <row r="284" spans="1:15" ht="15" customHeight="1" x14ac:dyDescent="0.3">
      <c r="A284" s="6" t="s">
        <v>520</v>
      </c>
      <c r="B284" s="6" t="s">
        <v>508</v>
      </c>
      <c r="C284" s="9"/>
      <c r="D284" s="9">
        <v>157</v>
      </c>
      <c r="E284" s="9">
        <v>4</v>
      </c>
      <c r="F284" s="9"/>
      <c r="G284" s="9"/>
      <c r="H284" s="9"/>
      <c r="I284" s="9"/>
      <c r="J284" s="9"/>
      <c r="K284" s="9"/>
      <c r="L284" s="9"/>
      <c r="M284" s="9"/>
      <c r="N284" s="9"/>
      <c r="O284" s="29">
        <f t="shared" si="4"/>
        <v>161</v>
      </c>
    </row>
    <row r="285" spans="1:15" ht="15" customHeight="1" x14ac:dyDescent="0.3">
      <c r="A285" s="6" t="s">
        <v>521</v>
      </c>
      <c r="B285" s="6" t="s">
        <v>65</v>
      </c>
      <c r="C285" s="9">
        <v>240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29">
        <f t="shared" si="4"/>
        <v>240</v>
      </c>
    </row>
    <row r="286" spans="1:15" ht="15" customHeight="1" x14ac:dyDescent="0.3">
      <c r="A286" s="6" t="s">
        <v>522</v>
      </c>
      <c r="B286" s="6" t="s">
        <v>286</v>
      </c>
      <c r="C286" s="9">
        <v>24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29">
        <f t="shared" si="4"/>
        <v>24</v>
      </c>
    </row>
    <row r="287" spans="1:15" ht="15" customHeight="1" x14ac:dyDescent="0.3">
      <c r="A287" s="6" t="s">
        <v>523</v>
      </c>
      <c r="B287" s="6" t="s">
        <v>524</v>
      </c>
      <c r="C287" s="9"/>
      <c r="D287" s="9"/>
      <c r="E287" s="9"/>
      <c r="F287" s="9"/>
      <c r="G287" s="9">
        <v>672</v>
      </c>
      <c r="H287" s="9"/>
      <c r="I287" s="9"/>
      <c r="J287" s="9"/>
      <c r="K287" s="9"/>
      <c r="L287" s="9"/>
      <c r="M287" s="9"/>
      <c r="N287" s="9"/>
      <c r="O287" s="29">
        <f t="shared" si="4"/>
        <v>672</v>
      </c>
    </row>
    <row r="288" spans="1:15" ht="15" customHeight="1" x14ac:dyDescent="0.3">
      <c r="A288" s="6" t="s">
        <v>526</v>
      </c>
      <c r="B288" s="6" t="s">
        <v>508</v>
      </c>
      <c r="C288" s="9">
        <v>93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29">
        <f t="shared" si="4"/>
        <v>93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7" customWidth="1"/>
    <col min="2" max="2" width="28" customWidth="1"/>
    <col min="3" max="3" width="36" customWidth="1"/>
    <col min="4" max="4" width="18" customWidth="1"/>
    <col min="5" max="5" width="14" customWidth="1"/>
    <col min="6" max="6" width="12" customWidth="1"/>
    <col min="7" max="7" width="10" customWidth="1"/>
    <col min="8" max="9" width="14" customWidth="1"/>
  </cols>
  <sheetData>
    <row r="1" spans="1:9" ht="17.25" customHeight="1" x14ac:dyDescent="0.3">
      <c r="A1" s="3" t="s">
        <v>571</v>
      </c>
      <c r="B1" s="3"/>
      <c r="C1" s="3"/>
      <c r="D1" s="3"/>
      <c r="E1" s="3"/>
      <c r="F1" s="3"/>
      <c r="G1" s="3"/>
      <c r="H1" s="3"/>
      <c r="I1" s="3"/>
    </row>
    <row r="3" spans="1:9" ht="23.25" customHeight="1" x14ac:dyDescent="0.3">
      <c r="A3" s="4" t="s">
        <v>572</v>
      </c>
      <c r="B3" s="4" t="s">
        <v>4</v>
      </c>
      <c r="C3" s="4" t="s">
        <v>5</v>
      </c>
      <c r="D3" s="4" t="s">
        <v>6</v>
      </c>
      <c r="E3" s="4" t="s">
        <v>542</v>
      </c>
      <c r="F3" s="4" t="s">
        <v>10</v>
      </c>
      <c r="G3" s="4" t="s">
        <v>545</v>
      </c>
      <c r="H3" s="4" t="s">
        <v>547</v>
      </c>
      <c r="I3" s="4" t="s">
        <v>548</v>
      </c>
    </row>
    <row r="4" spans="1:9" ht="15" customHeight="1" x14ac:dyDescent="0.3">
      <c r="A4" s="30">
        <v>1</v>
      </c>
      <c r="B4" s="30" t="s">
        <v>385</v>
      </c>
      <c r="C4" s="30" t="s">
        <v>386</v>
      </c>
      <c r="D4" s="30" t="s">
        <v>387</v>
      </c>
      <c r="E4" s="31">
        <v>78009</v>
      </c>
      <c r="F4" s="31">
        <v>5034</v>
      </c>
      <c r="G4" s="32">
        <f t="shared" ref="G4:G35" si="0">F4/(365*24)</f>
        <v>0.5746575342465754</v>
      </c>
      <c r="H4" s="33">
        <f t="shared" ref="H4:H35" si="1">E4/365</f>
        <v>213.72328767123287</v>
      </c>
      <c r="I4" s="33">
        <f t="shared" ref="I4:I35" si="2">IF(F4&gt;0,E4/(F4/24),0)</f>
        <v>371.91418355184743</v>
      </c>
    </row>
    <row r="5" spans="1:9" ht="15" customHeight="1" x14ac:dyDescent="0.3">
      <c r="A5" s="34">
        <v>2</v>
      </c>
      <c r="B5" s="34" t="s">
        <v>15</v>
      </c>
      <c r="C5" s="34" t="s">
        <v>16</v>
      </c>
      <c r="D5" s="34" t="s">
        <v>17</v>
      </c>
      <c r="E5" s="35">
        <v>75407</v>
      </c>
      <c r="F5" s="35">
        <v>8704</v>
      </c>
      <c r="G5" s="36">
        <f t="shared" si="0"/>
        <v>0.99360730593607305</v>
      </c>
      <c r="H5" s="37">
        <f t="shared" si="1"/>
        <v>206.59452054794519</v>
      </c>
      <c r="I5" s="37">
        <f t="shared" si="2"/>
        <v>207.92371323529412</v>
      </c>
    </row>
    <row r="6" spans="1:9" ht="15" customHeight="1" x14ac:dyDescent="0.3">
      <c r="A6" s="30">
        <v>3</v>
      </c>
      <c r="B6" s="30" t="s">
        <v>428</v>
      </c>
      <c r="C6" s="30" t="s">
        <v>23</v>
      </c>
      <c r="D6" s="30" t="s">
        <v>24</v>
      </c>
      <c r="E6" s="31">
        <v>75081</v>
      </c>
      <c r="F6" s="31">
        <v>6167</v>
      </c>
      <c r="G6" s="32">
        <f t="shared" si="0"/>
        <v>0.70399543378995433</v>
      </c>
      <c r="H6" s="33">
        <f t="shared" si="1"/>
        <v>205.7013698630137</v>
      </c>
      <c r="I6" s="33">
        <f t="shared" si="2"/>
        <v>292.19134100859418</v>
      </c>
    </row>
    <row r="7" spans="1:9" ht="15" customHeight="1" x14ac:dyDescent="0.3">
      <c r="A7" s="34">
        <v>4</v>
      </c>
      <c r="B7" s="34" t="s">
        <v>430</v>
      </c>
      <c r="C7" s="34" t="s">
        <v>397</v>
      </c>
      <c r="D7" s="34" t="s">
        <v>398</v>
      </c>
      <c r="E7" s="35">
        <v>71517</v>
      </c>
      <c r="F7" s="35">
        <v>5842</v>
      </c>
      <c r="G7" s="36">
        <f t="shared" si="0"/>
        <v>0.66689497716894974</v>
      </c>
      <c r="H7" s="37">
        <f t="shared" si="1"/>
        <v>195.93698630136987</v>
      </c>
      <c r="I7" s="37">
        <f t="shared" si="2"/>
        <v>293.80486134885314</v>
      </c>
    </row>
    <row r="8" spans="1:9" ht="15" customHeight="1" x14ac:dyDescent="0.3">
      <c r="A8" s="30">
        <v>5</v>
      </c>
      <c r="B8" s="30" t="s">
        <v>19</v>
      </c>
      <c r="C8" s="30" t="s">
        <v>20</v>
      </c>
      <c r="D8" s="30" t="s">
        <v>21</v>
      </c>
      <c r="E8" s="31">
        <v>65335</v>
      </c>
      <c r="F8" s="31">
        <v>8753</v>
      </c>
      <c r="G8" s="32">
        <f t="shared" si="0"/>
        <v>0.9992009132420091</v>
      </c>
      <c r="H8" s="33">
        <f t="shared" si="1"/>
        <v>179</v>
      </c>
      <c r="I8" s="33">
        <f t="shared" si="2"/>
        <v>179.1431509196847</v>
      </c>
    </row>
    <row r="9" spans="1:9" ht="15" customHeight="1" x14ac:dyDescent="0.3">
      <c r="A9" s="34">
        <v>6</v>
      </c>
      <c r="B9" s="34" t="s">
        <v>22</v>
      </c>
      <c r="C9" s="34" t="s">
        <v>23</v>
      </c>
      <c r="D9" s="34" t="s">
        <v>24</v>
      </c>
      <c r="E9" s="35">
        <v>65082</v>
      </c>
      <c r="F9" s="35">
        <v>8530</v>
      </c>
      <c r="G9" s="36">
        <f t="shared" si="0"/>
        <v>0.97374429223744297</v>
      </c>
      <c r="H9" s="37">
        <f t="shared" si="1"/>
        <v>178.30684931506849</v>
      </c>
      <c r="I9" s="37">
        <f t="shared" si="2"/>
        <v>183.11465416178194</v>
      </c>
    </row>
    <row r="10" spans="1:9" ht="15" customHeight="1" x14ac:dyDescent="0.3">
      <c r="A10" s="30">
        <v>7</v>
      </c>
      <c r="B10" s="30" t="s">
        <v>25</v>
      </c>
      <c r="C10" s="30" t="s">
        <v>26</v>
      </c>
      <c r="D10" s="30" t="s">
        <v>27</v>
      </c>
      <c r="E10" s="31">
        <v>62143</v>
      </c>
      <c r="F10" s="31">
        <v>8553</v>
      </c>
      <c r="G10" s="32">
        <f t="shared" si="0"/>
        <v>0.97636986301369866</v>
      </c>
      <c r="H10" s="33">
        <f t="shared" si="1"/>
        <v>170.25479452054793</v>
      </c>
      <c r="I10" s="33">
        <f t="shared" si="2"/>
        <v>174.37530690985619</v>
      </c>
    </row>
    <row r="11" spans="1:9" ht="15" customHeight="1" x14ac:dyDescent="0.3">
      <c r="A11" s="34">
        <v>8</v>
      </c>
      <c r="B11" s="34" t="s">
        <v>432</v>
      </c>
      <c r="C11" s="34" t="s">
        <v>362</v>
      </c>
      <c r="D11" s="34" t="s">
        <v>363</v>
      </c>
      <c r="E11" s="35">
        <v>61500</v>
      </c>
      <c r="F11" s="35">
        <v>6163</v>
      </c>
      <c r="G11" s="36">
        <f t="shared" si="0"/>
        <v>0.7035388127853881</v>
      </c>
      <c r="H11" s="37">
        <f t="shared" si="1"/>
        <v>168.49315068493149</v>
      </c>
      <c r="I11" s="37">
        <f t="shared" si="2"/>
        <v>239.49375304234948</v>
      </c>
    </row>
    <row r="12" spans="1:9" ht="15" customHeight="1" x14ac:dyDescent="0.3">
      <c r="A12" s="30">
        <v>9</v>
      </c>
      <c r="B12" s="30" t="s">
        <v>28</v>
      </c>
      <c r="C12" s="30" t="s">
        <v>29</v>
      </c>
      <c r="D12" s="30" t="s">
        <v>30</v>
      </c>
      <c r="E12" s="31">
        <v>60920</v>
      </c>
      <c r="F12" s="31">
        <v>8682</v>
      </c>
      <c r="G12" s="32">
        <f t="shared" si="0"/>
        <v>0.99109589041095891</v>
      </c>
      <c r="H12" s="33">
        <f t="shared" si="1"/>
        <v>166.9041095890411</v>
      </c>
      <c r="I12" s="33">
        <f t="shared" si="2"/>
        <v>168.40359364201797</v>
      </c>
    </row>
    <row r="13" spans="1:9" ht="15" customHeight="1" x14ac:dyDescent="0.3">
      <c r="A13" s="34">
        <v>10</v>
      </c>
      <c r="B13" s="34" t="s">
        <v>433</v>
      </c>
      <c r="C13" s="34" t="s">
        <v>23</v>
      </c>
      <c r="D13" s="34" t="s">
        <v>24</v>
      </c>
      <c r="E13" s="35">
        <v>56240</v>
      </c>
      <c r="F13" s="35">
        <v>6128</v>
      </c>
      <c r="G13" s="36">
        <f t="shared" si="0"/>
        <v>0.69954337899543384</v>
      </c>
      <c r="H13" s="37">
        <f t="shared" si="1"/>
        <v>154.08219178082192</v>
      </c>
      <c r="I13" s="37">
        <f t="shared" si="2"/>
        <v>220.26109660574411</v>
      </c>
    </row>
    <row r="14" spans="1:9" ht="15" customHeight="1" x14ac:dyDescent="0.3">
      <c r="A14" s="30">
        <v>11</v>
      </c>
      <c r="B14" s="30" t="s">
        <v>31</v>
      </c>
      <c r="C14" s="30" t="s">
        <v>20</v>
      </c>
      <c r="D14" s="30" t="s">
        <v>21</v>
      </c>
      <c r="E14" s="31">
        <v>55442</v>
      </c>
      <c r="F14" s="31">
        <v>8706</v>
      </c>
      <c r="G14" s="32">
        <f t="shared" si="0"/>
        <v>0.99383561643835616</v>
      </c>
      <c r="H14" s="33">
        <f t="shared" si="1"/>
        <v>151.89589041095891</v>
      </c>
      <c r="I14" s="33">
        <f t="shared" si="2"/>
        <v>152.83804272915231</v>
      </c>
    </row>
    <row r="15" spans="1:9" ht="15" customHeight="1" x14ac:dyDescent="0.3">
      <c r="A15" s="34">
        <v>12</v>
      </c>
      <c r="B15" s="34" t="s">
        <v>434</v>
      </c>
      <c r="C15" s="34" t="s">
        <v>386</v>
      </c>
      <c r="D15" s="34" t="s">
        <v>387</v>
      </c>
      <c r="E15" s="35">
        <v>53339</v>
      </c>
      <c r="F15" s="35">
        <v>3476</v>
      </c>
      <c r="G15" s="36">
        <f t="shared" si="0"/>
        <v>0.39680365296803655</v>
      </c>
      <c r="H15" s="37">
        <f t="shared" si="1"/>
        <v>146.13424657534247</v>
      </c>
      <c r="I15" s="37">
        <f t="shared" si="2"/>
        <v>368.27848101265818</v>
      </c>
    </row>
    <row r="16" spans="1:9" ht="15" customHeight="1" x14ac:dyDescent="0.3">
      <c r="A16" s="30">
        <v>13</v>
      </c>
      <c r="B16" s="30" t="s">
        <v>361</v>
      </c>
      <c r="C16" s="30" t="s">
        <v>362</v>
      </c>
      <c r="D16" s="30" t="s">
        <v>363</v>
      </c>
      <c r="E16" s="31">
        <v>52366</v>
      </c>
      <c r="F16" s="31">
        <v>6842</v>
      </c>
      <c r="G16" s="32">
        <f t="shared" si="0"/>
        <v>0.7810502283105023</v>
      </c>
      <c r="H16" s="33">
        <f t="shared" si="1"/>
        <v>143.46849315068494</v>
      </c>
      <c r="I16" s="33">
        <f t="shared" si="2"/>
        <v>183.68664133294359</v>
      </c>
    </row>
    <row r="17" spans="1:9" ht="15" customHeight="1" x14ac:dyDescent="0.3">
      <c r="A17" s="34">
        <v>14</v>
      </c>
      <c r="B17" s="34" t="s">
        <v>32</v>
      </c>
      <c r="C17" s="34" t="s">
        <v>33</v>
      </c>
      <c r="D17" s="34" t="s">
        <v>34</v>
      </c>
      <c r="E17" s="35">
        <v>52271</v>
      </c>
      <c r="F17" s="35">
        <v>8064</v>
      </c>
      <c r="G17" s="36">
        <f t="shared" si="0"/>
        <v>0.92054794520547945</v>
      </c>
      <c r="H17" s="37">
        <f t="shared" si="1"/>
        <v>143.2082191780822</v>
      </c>
      <c r="I17" s="37">
        <f t="shared" si="2"/>
        <v>155.56845238095238</v>
      </c>
    </row>
    <row r="18" spans="1:9" ht="15" customHeight="1" x14ac:dyDescent="0.3">
      <c r="A18" s="30">
        <v>15</v>
      </c>
      <c r="B18" s="30" t="s">
        <v>35</v>
      </c>
      <c r="C18" s="30" t="s">
        <v>36</v>
      </c>
      <c r="D18" s="30" t="s">
        <v>21</v>
      </c>
      <c r="E18" s="31">
        <v>50927</v>
      </c>
      <c r="F18" s="31">
        <v>8500</v>
      </c>
      <c r="G18" s="32">
        <f t="shared" si="0"/>
        <v>0.97031963470319638</v>
      </c>
      <c r="H18" s="33">
        <f t="shared" si="1"/>
        <v>139.52602739726026</v>
      </c>
      <c r="I18" s="33">
        <f t="shared" si="2"/>
        <v>143.79388235294118</v>
      </c>
    </row>
    <row r="19" spans="1:9" ht="15" customHeight="1" x14ac:dyDescent="0.3">
      <c r="A19" s="34">
        <v>16</v>
      </c>
      <c r="B19" s="34" t="s">
        <v>366</v>
      </c>
      <c r="C19" s="34" t="s">
        <v>367</v>
      </c>
      <c r="D19" s="34" t="s">
        <v>368</v>
      </c>
      <c r="E19" s="35">
        <v>50727</v>
      </c>
      <c r="F19" s="35">
        <v>7137</v>
      </c>
      <c r="G19" s="36">
        <f t="shared" si="0"/>
        <v>0.8147260273972603</v>
      </c>
      <c r="H19" s="37">
        <f t="shared" si="1"/>
        <v>138.97808219178083</v>
      </c>
      <c r="I19" s="37">
        <f t="shared" si="2"/>
        <v>170.5825977301387</v>
      </c>
    </row>
    <row r="20" spans="1:9" ht="15" customHeight="1" x14ac:dyDescent="0.3">
      <c r="A20" s="30">
        <v>17</v>
      </c>
      <c r="B20" s="30" t="s">
        <v>37</v>
      </c>
      <c r="C20" s="30" t="s">
        <v>38</v>
      </c>
      <c r="D20" s="30" t="s">
        <v>39</v>
      </c>
      <c r="E20" s="31">
        <v>49412</v>
      </c>
      <c r="F20" s="31">
        <v>8656</v>
      </c>
      <c r="G20" s="32">
        <f t="shared" si="0"/>
        <v>0.98812785388127855</v>
      </c>
      <c r="H20" s="33">
        <f t="shared" si="1"/>
        <v>135.37534246575342</v>
      </c>
      <c r="I20" s="33">
        <f t="shared" si="2"/>
        <v>137.00184842883547</v>
      </c>
    </row>
    <row r="21" spans="1:9" ht="15" customHeight="1" x14ac:dyDescent="0.3">
      <c r="A21" s="34">
        <v>18</v>
      </c>
      <c r="B21" s="34" t="s">
        <v>436</v>
      </c>
      <c r="C21" s="34" t="s">
        <v>437</v>
      </c>
      <c r="D21" s="34" t="s">
        <v>438</v>
      </c>
      <c r="E21" s="35">
        <v>49092</v>
      </c>
      <c r="F21" s="35">
        <v>5866</v>
      </c>
      <c r="G21" s="36">
        <f t="shared" si="0"/>
        <v>0.66963470319634699</v>
      </c>
      <c r="H21" s="37">
        <f t="shared" si="1"/>
        <v>134.49863013698629</v>
      </c>
      <c r="I21" s="37">
        <f t="shared" si="2"/>
        <v>200.85373337879307</v>
      </c>
    </row>
    <row r="22" spans="1:9" ht="15" customHeight="1" x14ac:dyDescent="0.3">
      <c r="A22" s="30">
        <v>19</v>
      </c>
      <c r="B22" s="30" t="s">
        <v>439</v>
      </c>
      <c r="C22" s="30" t="s">
        <v>437</v>
      </c>
      <c r="D22" s="30" t="s">
        <v>438</v>
      </c>
      <c r="E22" s="31">
        <v>48584</v>
      </c>
      <c r="F22" s="31">
        <v>5868</v>
      </c>
      <c r="G22" s="32">
        <f t="shared" si="0"/>
        <v>0.66986301369863011</v>
      </c>
      <c r="H22" s="33">
        <f t="shared" si="1"/>
        <v>133.1068493150685</v>
      </c>
      <c r="I22" s="33">
        <f t="shared" si="2"/>
        <v>198.70756646216768</v>
      </c>
    </row>
    <row r="23" spans="1:9" ht="15" customHeight="1" x14ac:dyDescent="0.3">
      <c r="A23" s="34">
        <v>20</v>
      </c>
      <c r="B23" s="34" t="s">
        <v>40</v>
      </c>
      <c r="C23" s="34" t="s">
        <v>16</v>
      </c>
      <c r="D23" s="34" t="s">
        <v>17</v>
      </c>
      <c r="E23" s="35">
        <v>48127</v>
      </c>
      <c r="F23" s="35">
        <v>8685</v>
      </c>
      <c r="G23" s="36">
        <f t="shared" si="0"/>
        <v>0.99143835616438358</v>
      </c>
      <c r="H23" s="37">
        <f t="shared" si="1"/>
        <v>131.85479452054796</v>
      </c>
      <c r="I23" s="37">
        <f t="shared" si="2"/>
        <v>132.99343696027634</v>
      </c>
    </row>
    <row r="24" spans="1:9" ht="15" customHeight="1" x14ac:dyDescent="0.3">
      <c r="A24" s="30">
        <v>21</v>
      </c>
      <c r="B24" s="30" t="s">
        <v>41</v>
      </c>
      <c r="C24" s="30" t="s">
        <v>16</v>
      </c>
      <c r="D24" s="30" t="s">
        <v>17</v>
      </c>
      <c r="E24" s="31">
        <v>45754</v>
      </c>
      <c r="F24" s="31">
        <v>8667</v>
      </c>
      <c r="G24" s="32">
        <f t="shared" si="0"/>
        <v>0.98938356164383556</v>
      </c>
      <c r="H24" s="33">
        <f t="shared" si="1"/>
        <v>125.35342465753425</v>
      </c>
      <c r="I24" s="33">
        <f t="shared" si="2"/>
        <v>126.69851159570786</v>
      </c>
    </row>
    <row r="25" spans="1:9" ht="15" customHeight="1" x14ac:dyDescent="0.3">
      <c r="A25" s="34">
        <v>22</v>
      </c>
      <c r="B25" s="34" t="s">
        <v>42</v>
      </c>
      <c r="C25" s="34" t="s">
        <v>20</v>
      </c>
      <c r="D25" s="34" t="s">
        <v>21</v>
      </c>
      <c r="E25" s="35">
        <v>45287</v>
      </c>
      <c r="F25" s="35">
        <v>8736</v>
      </c>
      <c r="G25" s="36">
        <f t="shared" si="0"/>
        <v>0.99726027397260275</v>
      </c>
      <c r="H25" s="37">
        <f t="shared" si="1"/>
        <v>124.07397260273973</v>
      </c>
      <c r="I25" s="37">
        <f t="shared" si="2"/>
        <v>124.41483516483517</v>
      </c>
    </row>
    <row r="26" spans="1:9" ht="15" customHeight="1" x14ac:dyDescent="0.3">
      <c r="A26" s="30">
        <v>23</v>
      </c>
      <c r="B26" s="30" t="s">
        <v>43</v>
      </c>
      <c r="C26" s="30" t="s">
        <v>44</v>
      </c>
      <c r="D26" s="30" t="s">
        <v>45</v>
      </c>
      <c r="E26" s="31">
        <v>44128</v>
      </c>
      <c r="F26" s="31">
        <v>8489</v>
      </c>
      <c r="G26" s="32">
        <f t="shared" si="0"/>
        <v>0.96906392694063925</v>
      </c>
      <c r="H26" s="33">
        <f t="shared" si="1"/>
        <v>120.8986301369863</v>
      </c>
      <c r="I26" s="33">
        <f t="shared" si="2"/>
        <v>124.75815761573801</v>
      </c>
    </row>
    <row r="27" spans="1:9" ht="15" customHeight="1" x14ac:dyDescent="0.3">
      <c r="A27" s="34">
        <v>24</v>
      </c>
      <c r="B27" s="34" t="s">
        <v>46</v>
      </c>
      <c r="C27" s="34" t="s">
        <v>47</v>
      </c>
      <c r="D27" s="34" t="s">
        <v>48</v>
      </c>
      <c r="E27" s="35">
        <v>43879</v>
      </c>
      <c r="F27" s="35">
        <v>8399</v>
      </c>
      <c r="G27" s="36">
        <f t="shared" si="0"/>
        <v>0.9587899543378996</v>
      </c>
      <c r="H27" s="37">
        <f t="shared" si="1"/>
        <v>120.21643835616439</v>
      </c>
      <c r="I27" s="37">
        <f t="shared" si="2"/>
        <v>125.38349803548041</v>
      </c>
    </row>
    <row r="28" spans="1:9" ht="15" customHeight="1" x14ac:dyDescent="0.3">
      <c r="A28" s="30">
        <v>25</v>
      </c>
      <c r="B28" s="30" t="s">
        <v>440</v>
      </c>
      <c r="C28" s="30" t="s">
        <v>437</v>
      </c>
      <c r="D28" s="30" t="s">
        <v>438</v>
      </c>
      <c r="E28" s="31">
        <v>41562</v>
      </c>
      <c r="F28" s="31">
        <v>3662</v>
      </c>
      <c r="G28" s="32">
        <f t="shared" si="0"/>
        <v>0.41803652968036531</v>
      </c>
      <c r="H28" s="33">
        <f t="shared" si="1"/>
        <v>113.86849315068493</v>
      </c>
      <c r="I28" s="33">
        <f t="shared" si="2"/>
        <v>272.38885854724191</v>
      </c>
    </row>
    <row r="29" spans="1:9" ht="15" customHeight="1" x14ac:dyDescent="0.3">
      <c r="A29" s="34">
        <v>26</v>
      </c>
      <c r="B29" s="34" t="s">
        <v>49</v>
      </c>
      <c r="C29" s="34" t="s">
        <v>33</v>
      </c>
      <c r="D29" s="34" t="s">
        <v>34</v>
      </c>
      <c r="E29" s="35">
        <v>39611</v>
      </c>
      <c r="F29" s="35">
        <v>8234</v>
      </c>
      <c r="G29" s="36">
        <f t="shared" si="0"/>
        <v>0.93995433789954341</v>
      </c>
      <c r="H29" s="37">
        <f t="shared" si="1"/>
        <v>108.52328767123288</v>
      </c>
      <c r="I29" s="37">
        <f t="shared" si="2"/>
        <v>115.45591450085014</v>
      </c>
    </row>
    <row r="30" spans="1:9" ht="15" customHeight="1" x14ac:dyDescent="0.3">
      <c r="A30" s="30">
        <v>27</v>
      </c>
      <c r="B30" s="30" t="s">
        <v>50</v>
      </c>
      <c r="C30" s="30" t="s">
        <v>51</v>
      </c>
      <c r="D30" s="30" t="s">
        <v>52</v>
      </c>
      <c r="E30" s="31">
        <v>39114</v>
      </c>
      <c r="F30" s="31">
        <v>8756</v>
      </c>
      <c r="G30" s="32">
        <f t="shared" si="0"/>
        <v>0.99954337899543377</v>
      </c>
      <c r="H30" s="33">
        <f t="shared" si="1"/>
        <v>107.16164383561645</v>
      </c>
      <c r="I30" s="33">
        <f t="shared" si="2"/>
        <v>107.21059844677936</v>
      </c>
    </row>
    <row r="31" spans="1:9" ht="15" customHeight="1" x14ac:dyDescent="0.3">
      <c r="A31" s="34">
        <v>28</v>
      </c>
      <c r="B31" s="34" t="s">
        <v>53</v>
      </c>
      <c r="C31" s="34" t="s">
        <v>33</v>
      </c>
      <c r="D31" s="34" t="s">
        <v>34</v>
      </c>
      <c r="E31" s="35">
        <v>37777</v>
      </c>
      <c r="F31" s="35">
        <v>7844</v>
      </c>
      <c r="G31" s="36">
        <f t="shared" si="0"/>
        <v>0.89543378995433787</v>
      </c>
      <c r="H31" s="37">
        <f t="shared" si="1"/>
        <v>103.49863013698631</v>
      </c>
      <c r="I31" s="37">
        <f t="shared" si="2"/>
        <v>115.58490566037736</v>
      </c>
    </row>
    <row r="32" spans="1:9" ht="15" customHeight="1" x14ac:dyDescent="0.3">
      <c r="A32" s="30">
        <v>29</v>
      </c>
      <c r="B32" s="30" t="s">
        <v>441</v>
      </c>
      <c r="C32" s="30" t="s">
        <v>437</v>
      </c>
      <c r="D32" s="30" t="s">
        <v>438</v>
      </c>
      <c r="E32" s="31">
        <v>37091</v>
      </c>
      <c r="F32" s="31">
        <v>5456</v>
      </c>
      <c r="G32" s="32">
        <f t="shared" si="0"/>
        <v>0.62283105022831053</v>
      </c>
      <c r="H32" s="33">
        <f t="shared" si="1"/>
        <v>101.61917808219178</v>
      </c>
      <c r="I32" s="33">
        <f t="shared" si="2"/>
        <v>163.15689149560117</v>
      </c>
    </row>
    <row r="33" spans="1:9" ht="15" customHeight="1" x14ac:dyDescent="0.3">
      <c r="A33" s="34">
        <v>30</v>
      </c>
      <c r="B33" s="34" t="s">
        <v>54</v>
      </c>
      <c r="C33" s="34" t="s">
        <v>55</v>
      </c>
      <c r="D33" s="34" t="s">
        <v>56</v>
      </c>
      <c r="E33" s="35">
        <v>36809</v>
      </c>
      <c r="F33" s="35">
        <v>8190</v>
      </c>
      <c r="G33" s="36">
        <f t="shared" si="0"/>
        <v>0.93493150684931503</v>
      </c>
      <c r="H33" s="37">
        <f t="shared" si="1"/>
        <v>100.84657534246575</v>
      </c>
      <c r="I33" s="37">
        <f t="shared" si="2"/>
        <v>107.86520146520147</v>
      </c>
    </row>
    <row r="34" spans="1:9" ht="15" customHeight="1" x14ac:dyDescent="0.3">
      <c r="A34" s="30">
        <v>31</v>
      </c>
      <c r="B34" s="30" t="s">
        <v>57</v>
      </c>
      <c r="C34" s="30" t="s">
        <v>36</v>
      </c>
      <c r="D34" s="30" t="s">
        <v>21</v>
      </c>
      <c r="E34" s="31">
        <v>36774</v>
      </c>
      <c r="F34" s="31">
        <v>8755</v>
      </c>
      <c r="G34" s="32">
        <f t="shared" si="0"/>
        <v>0.99942922374429222</v>
      </c>
      <c r="H34" s="33">
        <f t="shared" si="1"/>
        <v>100.75068493150685</v>
      </c>
      <c r="I34" s="33">
        <f t="shared" si="2"/>
        <v>100.8082238720731</v>
      </c>
    </row>
    <row r="35" spans="1:9" ht="15" customHeight="1" x14ac:dyDescent="0.3">
      <c r="A35" s="34">
        <v>32</v>
      </c>
      <c r="B35" s="34" t="s">
        <v>58</v>
      </c>
      <c r="C35" s="34" t="s">
        <v>59</v>
      </c>
      <c r="D35" s="34" t="s">
        <v>60</v>
      </c>
      <c r="E35" s="35">
        <v>35880</v>
      </c>
      <c r="F35" s="35">
        <v>8742</v>
      </c>
      <c r="G35" s="36">
        <f t="shared" si="0"/>
        <v>0.99794520547945209</v>
      </c>
      <c r="H35" s="37">
        <f t="shared" si="1"/>
        <v>98.301369863013704</v>
      </c>
      <c r="I35" s="37">
        <f t="shared" si="2"/>
        <v>98.503774879890187</v>
      </c>
    </row>
    <row r="36" spans="1:9" ht="15" customHeight="1" x14ac:dyDescent="0.3">
      <c r="A36" s="30">
        <v>33</v>
      </c>
      <c r="B36" s="30" t="s">
        <v>61</v>
      </c>
      <c r="C36" s="30" t="s">
        <v>62</v>
      </c>
      <c r="D36" s="30" t="s">
        <v>63</v>
      </c>
      <c r="E36" s="31">
        <v>35206</v>
      </c>
      <c r="F36" s="31">
        <v>8318</v>
      </c>
      <c r="G36" s="32">
        <f t="shared" ref="G36:G67" si="3">F36/(365*24)</f>
        <v>0.94954337899543384</v>
      </c>
      <c r="H36" s="33">
        <f t="shared" ref="H36:H53" si="4">E36/365</f>
        <v>96.454794520547949</v>
      </c>
      <c r="I36" s="33">
        <f t="shared" ref="I36:I53" si="5">IF(F36&gt;0,E36/(F36/24),0)</f>
        <v>101.58018754508296</v>
      </c>
    </row>
    <row r="37" spans="1:9" ht="15" customHeight="1" x14ac:dyDescent="0.3">
      <c r="A37" s="34">
        <v>34</v>
      </c>
      <c r="B37" s="34" t="s">
        <v>64</v>
      </c>
      <c r="C37" s="34" t="s">
        <v>65</v>
      </c>
      <c r="D37" s="34" t="s">
        <v>39</v>
      </c>
      <c r="E37" s="35">
        <v>35090</v>
      </c>
      <c r="F37" s="35">
        <v>8736</v>
      </c>
      <c r="G37" s="36">
        <f t="shared" si="3"/>
        <v>0.99726027397260275</v>
      </c>
      <c r="H37" s="37">
        <f t="shared" si="4"/>
        <v>96.136986301369859</v>
      </c>
      <c r="I37" s="37">
        <f t="shared" si="5"/>
        <v>96.401098901098905</v>
      </c>
    </row>
    <row r="38" spans="1:9" ht="15" customHeight="1" x14ac:dyDescent="0.3">
      <c r="A38" s="30">
        <v>35</v>
      </c>
      <c r="B38" s="30" t="s">
        <v>66</v>
      </c>
      <c r="C38" s="30" t="s">
        <v>62</v>
      </c>
      <c r="D38" s="30" t="s">
        <v>63</v>
      </c>
      <c r="E38" s="31">
        <v>34539</v>
      </c>
      <c r="F38" s="31">
        <v>8175</v>
      </c>
      <c r="G38" s="32">
        <f t="shared" si="3"/>
        <v>0.93321917808219179</v>
      </c>
      <c r="H38" s="33">
        <f t="shared" si="4"/>
        <v>94.627397260273966</v>
      </c>
      <c r="I38" s="33">
        <f t="shared" si="5"/>
        <v>101.3988990825688</v>
      </c>
    </row>
    <row r="39" spans="1:9" ht="15" customHeight="1" x14ac:dyDescent="0.3">
      <c r="A39" s="34">
        <v>36</v>
      </c>
      <c r="B39" s="34" t="s">
        <v>369</v>
      </c>
      <c r="C39" s="34" t="s">
        <v>362</v>
      </c>
      <c r="D39" s="34" t="s">
        <v>363</v>
      </c>
      <c r="E39" s="35">
        <v>34449</v>
      </c>
      <c r="F39" s="35">
        <v>7004</v>
      </c>
      <c r="G39" s="36">
        <f t="shared" si="3"/>
        <v>0.79954337899543382</v>
      </c>
      <c r="H39" s="37">
        <f t="shared" si="4"/>
        <v>94.38082191780822</v>
      </c>
      <c r="I39" s="37">
        <f t="shared" si="5"/>
        <v>118.0434037692747</v>
      </c>
    </row>
    <row r="40" spans="1:9" ht="15" customHeight="1" x14ac:dyDescent="0.3">
      <c r="A40" s="30">
        <v>37</v>
      </c>
      <c r="B40" s="30" t="s">
        <v>442</v>
      </c>
      <c r="C40" s="30" t="s">
        <v>26</v>
      </c>
      <c r="D40" s="30" t="s">
        <v>27</v>
      </c>
      <c r="E40" s="31">
        <v>34389</v>
      </c>
      <c r="F40" s="31">
        <v>6191</v>
      </c>
      <c r="G40" s="32">
        <f t="shared" si="3"/>
        <v>0.70673515981735158</v>
      </c>
      <c r="H40" s="33">
        <f t="shared" si="4"/>
        <v>94.216438356164389</v>
      </c>
      <c r="I40" s="33">
        <f t="shared" si="5"/>
        <v>133.31222742691003</v>
      </c>
    </row>
    <row r="41" spans="1:9" ht="15" customHeight="1" x14ac:dyDescent="0.3">
      <c r="A41" s="34">
        <v>38</v>
      </c>
      <c r="B41" s="34" t="s">
        <v>443</v>
      </c>
      <c r="C41" s="34" t="s">
        <v>392</v>
      </c>
      <c r="D41" s="34" t="s">
        <v>393</v>
      </c>
      <c r="E41" s="35">
        <v>33833</v>
      </c>
      <c r="F41" s="35">
        <v>3622</v>
      </c>
      <c r="G41" s="36">
        <f t="shared" si="3"/>
        <v>0.41347031963470321</v>
      </c>
      <c r="H41" s="37">
        <f t="shared" si="4"/>
        <v>92.69315068493151</v>
      </c>
      <c r="I41" s="37">
        <f t="shared" si="5"/>
        <v>224.18332413031476</v>
      </c>
    </row>
    <row r="42" spans="1:9" ht="15" customHeight="1" x14ac:dyDescent="0.3">
      <c r="A42" s="30">
        <v>39</v>
      </c>
      <c r="B42" s="30" t="s">
        <v>444</v>
      </c>
      <c r="C42" s="30" t="s">
        <v>386</v>
      </c>
      <c r="D42" s="30" t="s">
        <v>387</v>
      </c>
      <c r="E42" s="31">
        <v>32818</v>
      </c>
      <c r="F42" s="31">
        <v>3543</v>
      </c>
      <c r="G42" s="32">
        <f t="shared" si="3"/>
        <v>0.40445205479452057</v>
      </c>
      <c r="H42" s="33">
        <f t="shared" si="4"/>
        <v>89.912328767123284</v>
      </c>
      <c r="I42" s="33">
        <f t="shared" si="5"/>
        <v>222.3065198983912</v>
      </c>
    </row>
    <row r="43" spans="1:9" ht="15" customHeight="1" x14ac:dyDescent="0.3">
      <c r="A43" s="34">
        <v>40</v>
      </c>
      <c r="B43" s="34" t="s">
        <v>67</v>
      </c>
      <c r="C43" s="34" t="s">
        <v>68</v>
      </c>
      <c r="D43" s="34" t="s">
        <v>69</v>
      </c>
      <c r="E43" s="35">
        <v>32619</v>
      </c>
      <c r="F43" s="35">
        <v>8715</v>
      </c>
      <c r="G43" s="36">
        <f t="shared" si="3"/>
        <v>0.99486301369863017</v>
      </c>
      <c r="H43" s="37">
        <f t="shared" si="4"/>
        <v>89.367123287671234</v>
      </c>
      <c r="I43" s="37">
        <f t="shared" si="5"/>
        <v>89.828571428571422</v>
      </c>
    </row>
    <row r="44" spans="1:9" ht="15" customHeight="1" x14ac:dyDescent="0.3">
      <c r="A44" s="30">
        <v>41</v>
      </c>
      <c r="B44" s="30" t="s">
        <v>70</v>
      </c>
      <c r="C44" s="30" t="s">
        <v>71</v>
      </c>
      <c r="D44" s="30" t="s">
        <v>72</v>
      </c>
      <c r="E44" s="31">
        <v>32440</v>
      </c>
      <c r="F44" s="31">
        <v>8524</v>
      </c>
      <c r="G44" s="32">
        <f t="shared" si="3"/>
        <v>0.97305936073059363</v>
      </c>
      <c r="H44" s="33">
        <f t="shared" si="4"/>
        <v>88.876712328767127</v>
      </c>
      <c r="I44" s="33">
        <f t="shared" si="5"/>
        <v>91.337400281557947</v>
      </c>
    </row>
    <row r="45" spans="1:9" ht="15" customHeight="1" x14ac:dyDescent="0.3">
      <c r="A45" s="34">
        <v>42</v>
      </c>
      <c r="B45" s="34" t="s">
        <v>73</v>
      </c>
      <c r="C45" s="34" t="s">
        <v>38</v>
      </c>
      <c r="D45" s="34" t="s">
        <v>39</v>
      </c>
      <c r="E45" s="35">
        <v>32297</v>
      </c>
      <c r="F45" s="35">
        <v>8721</v>
      </c>
      <c r="G45" s="36">
        <f t="shared" si="3"/>
        <v>0.9955479452054794</v>
      </c>
      <c r="H45" s="37">
        <f t="shared" si="4"/>
        <v>88.484931506849321</v>
      </c>
      <c r="I45" s="37">
        <f t="shared" si="5"/>
        <v>88.88063295493636</v>
      </c>
    </row>
    <row r="46" spans="1:9" ht="15" customHeight="1" x14ac:dyDescent="0.3">
      <c r="A46" s="30">
        <v>43</v>
      </c>
      <c r="B46" s="30" t="s">
        <v>74</v>
      </c>
      <c r="C46" s="30" t="s">
        <v>16</v>
      </c>
      <c r="D46" s="30" t="s">
        <v>17</v>
      </c>
      <c r="E46" s="31">
        <v>32215</v>
      </c>
      <c r="F46" s="31">
        <v>8633</v>
      </c>
      <c r="G46" s="32">
        <f t="shared" si="3"/>
        <v>0.98550228310502286</v>
      </c>
      <c r="H46" s="33">
        <f t="shared" si="4"/>
        <v>88.260273972602747</v>
      </c>
      <c r="I46" s="33">
        <f t="shared" si="5"/>
        <v>89.558670218927375</v>
      </c>
    </row>
    <row r="47" spans="1:9" ht="15" customHeight="1" x14ac:dyDescent="0.3">
      <c r="A47" s="34">
        <v>44</v>
      </c>
      <c r="B47" s="34" t="s">
        <v>75</v>
      </c>
      <c r="C47" s="34" t="s">
        <v>29</v>
      </c>
      <c r="D47" s="34" t="s">
        <v>30</v>
      </c>
      <c r="E47" s="35">
        <v>31925</v>
      </c>
      <c r="F47" s="35">
        <v>8746</v>
      </c>
      <c r="G47" s="36">
        <f t="shared" si="3"/>
        <v>0.99840182648401832</v>
      </c>
      <c r="H47" s="37">
        <f t="shared" si="4"/>
        <v>87.465753424657535</v>
      </c>
      <c r="I47" s="37">
        <f t="shared" si="5"/>
        <v>87.60576263434713</v>
      </c>
    </row>
    <row r="48" spans="1:9" ht="15" customHeight="1" x14ac:dyDescent="0.3">
      <c r="A48" s="30">
        <v>45</v>
      </c>
      <c r="B48" s="30" t="s">
        <v>76</v>
      </c>
      <c r="C48" s="30" t="s">
        <v>77</v>
      </c>
      <c r="D48" s="30" t="s">
        <v>78</v>
      </c>
      <c r="E48" s="31">
        <v>31051</v>
      </c>
      <c r="F48" s="31">
        <v>8446</v>
      </c>
      <c r="G48" s="32">
        <f t="shared" si="3"/>
        <v>0.96415525114155254</v>
      </c>
      <c r="H48" s="33">
        <f t="shared" si="4"/>
        <v>85.07123287671233</v>
      </c>
      <c r="I48" s="33">
        <f t="shared" si="5"/>
        <v>88.233956902675814</v>
      </c>
    </row>
    <row r="49" spans="1:9" ht="15" customHeight="1" x14ac:dyDescent="0.3">
      <c r="A49" s="34">
        <v>46</v>
      </c>
      <c r="B49" s="34" t="s">
        <v>445</v>
      </c>
      <c r="C49" s="34" t="s">
        <v>392</v>
      </c>
      <c r="D49" s="34" t="s">
        <v>393</v>
      </c>
      <c r="E49" s="35">
        <v>31030</v>
      </c>
      <c r="F49" s="35">
        <v>3270</v>
      </c>
      <c r="G49" s="36">
        <f t="shared" si="3"/>
        <v>0.37328767123287671</v>
      </c>
      <c r="H49" s="37">
        <f t="shared" si="4"/>
        <v>85.013698630136986</v>
      </c>
      <c r="I49" s="37">
        <f t="shared" si="5"/>
        <v>227.74311926605503</v>
      </c>
    </row>
    <row r="50" spans="1:9" ht="15" customHeight="1" x14ac:dyDescent="0.3">
      <c r="A50" s="30">
        <v>47</v>
      </c>
      <c r="B50" s="30" t="s">
        <v>79</v>
      </c>
      <c r="C50" s="30" t="s">
        <v>80</v>
      </c>
      <c r="D50" s="30" t="s">
        <v>81</v>
      </c>
      <c r="E50" s="31">
        <v>30763</v>
      </c>
      <c r="F50" s="31">
        <v>8703</v>
      </c>
      <c r="G50" s="32">
        <f t="shared" si="3"/>
        <v>0.99349315068493149</v>
      </c>
      <c r="H50" s="33">
        <f t="shared" si="4"/>
        <v>84.282191780821918</v>
      </c>
      <c r="I50" s="33">
        <f t="shared" si="5"/>
        <v>84.83419510513616</v>
      </c>
    </row>
    <row r="51" spans="1:9" ht="15" customHeight="1" x14ac:dyDescent="0.3">
      <c r="A51" s="34">
        <v>48</v>
      </c>
      <c r="B51" s="34" t="s">
        <v>82</v>
      </c>
      <c r="C51" s="34" t="s">
        <v>33</v>
      </c>
      <c r="D51" s="34" t="s">
        <v>34</v>
      </c>
      <c r="E51" s="35">
        <v>30558</v>
      </c>
      <c r="F51" s="35">
        <v>7143</v>
      </c>
      <c r="G51" s="36">
        <f t="shared" si="3"/>
        <v>0.81541095890410964</v>
      </c>
      <c r="H51" s="37">
        <f t="shared" si="4"/>
        <v>83.720547945205482</v>
      </c>
      <c r="I51" s="37">
        <f t="shared" si="5"/>
        <v>102.67282654346913</v>
      </c>
    </row>
    <row r="52" spans="1:9" ht="15" customHeight="1" x14ac:dyDescent="0.3">
      <c r="A52" s="30">
        <v>49</v>
      </c>
      <c r="B52" s="30" t="s">
        <v>83</v>
      </c>
      <c r="C52" s="30" t="s">
        <v>44</v>
      </c>
      <c r="D52" s="30" t="s">
        <v>45</v>
      </c>
      <c r="E52" s="31">
        <v>30487</v>
      </c>
      <c r="F52" s="31">
        <v>8750</v>
      </c>
      <c r="G52" s="32">
        <f t="shared" si="3"/>
        <v>0.99885844748858443</v>
      </c>
      <c r="H52" s="33">
        <f t="shared" si="4"/>
        <v>83.526027397260279</v>
      </c>
      <c r="I52" s="33">
        <f t="shared" si="5"/>
        <v>83.621485714285726</v>
      </c>
    </row>
    <row r="53" spans="1:9" ht="15" customHeight="1" x14ac:dyDescent="0.3">
      <c r="A53" s="34">
        <v>50</v>
      </c>
      <c r="B53" s="34" t="s">
        <v>446</v>
      </c>
      <c r="C53" s="34" t="s">
        <v>392</v>
      </c>
      <c r="D53" s="34" t="s">
        <v>393</v>
      </c>
      <c r="E53" s="35">
        <v>30298</v>
      </c>
      <c r="F53" s="35">
        <v>3001</v>
      </c>
      <c r="G53" s="36">
        <f t="shared" si="3"/>
        <v>0.34257990867579907</v>
      </c>
      <c r="H53" s="37">
        <f t="shared" si="4"/>
        <v>83.008219178082186</v>
      </c>
      <c r="I53" s="37">
        <f t="shared" si="5"/>
        <v>242.30323225591468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Pump Change Risk</vt:lpstr>
      <vt:lpstr>Downtime Analysis</vt:lpstr>
      <vt:lpstr>Well Summary</vt:lpstr>
      <vt:lpstr>Monthly Oil (m³)</vt:lpstr>
      <vt:lpstr>Monthly bbl per day</vt:lpstr>
      <vt:lpstr>Monthly Hours</vt:lpstr>
      <vt:lpstr>Top 50 Producers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Kyle Gronning</cp:lastModifiedBy>
  <cp:revision>0</cp:revision>
  <dcterms:created xsi:type="dcterms:W3CDTF">2026-02-16T01:31:14Z</dcterms:created>
  <dcterms:modified xsi:type="dcterms:W3CDTF">2026-02-16T19:52:07Z</dcterms:modified>
  <dc:language>en-US</dc:language>
</cp:coreProperties>
</file>